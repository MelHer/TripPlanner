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7" i="1" l="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alcChain>
</file>

<file path=xl/sharedStrings.xml><?xml version="1.0" encoding="utf-8"?>
<sst xmlns="http://schemas.openxmlformats.org/spreadsheetml/2006/main" count="242" uniqueCount="147">
  <si>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</si>
  <si>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</si>
  <si>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</si>
  <si>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</si>
  <si>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</si>
  <si>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</si>
  <si>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</si>
  <si>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</si>
  <si>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</si>
  <si>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</si>
  <si>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</si>
  <si>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</si>
  <si>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</si>
  <si>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</si>
  <si>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TPI: Trip Planner</t>
  </si>
  <si>
    <t>Prise de connaissance des tâches à réaliser.</t>
  </si>
  <si>
    <t>Entretien</t>
  </si>
  <si>
    <t>Entrevue avec le chef de projet et le premier expert.</t>
  </si>
  <si>
    <t>Nous avons discuté du déroulement du TPI. Tout est claire et en ordre.</t>
  </si>
  <si>
    <t>Création de la planification initiale.</t>
  </si>
  <si>
    <t>Création des use cases.</t>
  </si>
  <si>
    <t>Analyse concurentielle.</t>
  </si>
  <si>
    <t>Création des scénarios.</t>
  </si>
  <si>
    <t>Réalisé par: Herzig Melvyn, SI-CA2a</t>
  </si>
  <si>
    <t>Légende: les entrées grises représentent les recontres avec le CdP et/ou les experts.</t>
  </si>
  <si>
    <t>Nous avons discuté des differentes caractéristiques des éléments et certains deviennent facultatifs à remplir pour l'utilisateur pour faciliter l'utilisation.
Liste des modifications:
Voyage: l'image devient facultative pour l'utilisateur.
Transport: Le lien, le code, la remarque et l'image deviennent facultatifs.
Hébergement: Le code, le lien, la remarque et l'image sont facultatifs.
Activité: Le lien, la remarque et l'image deviennent facultatifs.</t>
  </si>
  <si>
    <t xml:space="preserve">L'ensemble des scénarios du projet ont été créés. </t>
  </si>
  <si>
    <t>3h</t>
  </si>
  <si>
    <t>Préparation du template.</t>
  </si>
  <si>
    <t>Le template a été découpé et préparé de manière à respecter le modèle MVC.</t>
  </si>
  <si>
    <t>0.75h</t>
  </si>
  <si>
    <t>0.25h</t>
  </si>
  <si>
    <t>Création de la page d'accueil.</t>
  </si>
  <si>
    <t>Ajout de la planification et modification du modèle de base de données.</t>
  </si>
  <si>
    <t>0.45h</t>
  </si>
  <si>
    <t>Quelques modifications sont à apporter à la base de donnés au niveau de la checklist. Elle adopte un caractère plus personnel pour l'organisateur. Elle devient une liste de prérequis et non de simples affaires à prévoire.</t>
  </si>
  <si>
    <t>1.5h</t>
  </si>
  <si>
    <t>Un visiteur peut maintenant créer un compte pour utiliser Trip Planner.</t>
  </si>
  <si>
    <t>0.5h</t>
  </si>
  <si>
    <t>Page de connexion.</t>
  </si>
  <si>
    <t>Un membre peut désormais se connecter au site pour bénéficier de toutes les fonctionnalités.</t>
  </si>
  <si>
    <t>(voir Database/TP_Database.sql) Ce script crée la structure de la base de données (tables, index, contraintes).</t>
  </si>
  <si>
    <t>1.25h</t>
  </si>
  <si>
    <t>Page de suppression du compte.</t>
  </si>
  <si>
    <t>Les utilisateurs peuvent désormais supprimer leur compte en ayant au préalable confirmé la suppression avec leur mot de passe.</t>
  </si>
  <si>
    <t>1.h</t>
  </si>
  <si>
    <t>Les utilisateurs peuvent désormais changer leur mot de passe en tappant une fois l'ancien et deux fois le nouveau dans le menu prévu à cet effet.</t>
  </si>
  <si>
    <t>Mise à jour de la documentation.</t>
  </si>
  <si>
    <t>Un voyage se voit attribuer deux nouveaux attributs: date de départ et date de fin. Les maquettes, les scénarios et la modélisation de la base de données ont été actualisés.</t>
  </si>
  <si>
    <t>Ajout de la gestion du dossier utilisateur.</t>
  </si>
  <si>
    <t>A la création d'un compte, un dossier utilisateur: user&lt;id&gt; est créé pour stocker ses images. A la suppression du compte, le dossier et les sous dossiers sont effacés.</t>
  </si>
  <si>
    <t>L'utilisateur peut voir la liste de ses voyages et défiler par page  (5 voyages par page) classés du plus récent au plus vieux.</t>
  </si>
  <si>
    <t>2h</t>
  </si>
  <si>
    <t>L'utilisateur peut désormais créer de nouveaux voyages.</t>
  </si>
  <si>
    <t>1h</t>
  </si>
  <si>
    <t>2.75h</t>
  </si>
  <si>
    <t xml:space="preserve">Le system "CRUD" des transport a été implémenté. L'affichage des transports d'un voyage se fait dans les détails du voyage. Un bouton "Ajouter" permet de créer de nouveaux transports pour le voyage en question. Un bouton "Crayon" à côté de chaque transport permet d'éditer le transport vers lequel il se trouve. Un bouton "x" permet de supprimer le transport auquel il est lié. </t>
  </si>
  <si>
    <t>Le créateur d'un voyage peut visionner qui y participe (personnes qu'il aura accepté préalablement) sur la page des détails de son voyage. Une croix permet de les retirer du voyage.</t>
  </si>
  <si>
    <t>Le site avance bien. Il faut différencier le titre du voyage et sa description. Ajouter dans les améliorations une meilleur gestion du compte. Il faut désormais se concentrer sur la partie privé/public et voir si la gestion des pdf peut être réalisée durant le temps imparti, sinon documenter les pistes.</t>
  </si>
  <si>
    <t>Ajout de la page des voyages en lecture seule.</t>
  </si>
  <si>
    <t>1.75h</t>
  </si>
  <si>
    <t>Ajout du changement de visibilité.</t>
  </si>
  <si>
    <t>Le créateur d'un voyage peut changer sa visibilité dans la page des détails du voyage.</t>
  </si>
  <si>
    <t>Ajout de l'export PDF.</t>
  </si>
  <si>
    <t>Documentation sur l'implémentation.</t>
  </si>
  <si>
    <t>Première relecture de la documentation produite en parralèle jusqu’à aujourd'hui.</t>
  </si>
  <si>
    <t>Documentation d'installation.</t>
  </si>
  <si>
    <t>La documentation d'installation explique comment mettre en ligne le site avec ou sans données de test.</t>
  </si>
  <si>
    <t>Rédaction des scénarios de test pour la gestion de compte (création, connexion, déconnexion, changement de mot de passe, suppression).</t>
  </si>
  <si>
    <t>Rédaction des scénarios de test pour les voyages (afficher ses voyages, les voyages publics, créer un voyage, voir les détails, modifier l'intitulé et le supprimer).</t>
  </si>
  <si>
    <t>Les scénarios de test sont destinés à une personne bien veillante pour une utilisation normale de Trip Planner. Des scénarios alternatifs effectués par le développeur sont ajoutés à la suite pour décrire le comportement du site lorsque des données incorrectes sont reçues, des pages privées sont demandées...</t>
  </si>
  <si>
    <t>Rédaction des scénarios de test pour changer la visibilité d'un voyage.</t>
  </si>
  <si>
    <t>Rédaction des scénarios sur l'acceptation, refus, supression de participants et l'export pdf.</t>
  </si>
  <si>
    <t>Rédaction des scénarios de test pour voir un voyage public, s'y inscrire et annuler sa participation</t>
  </si>
  <si>
    <t>Corrections de bugs.</t>
  </si>
  <si>
    <t>3.75h</t>
  </si>
  <si>
    <t>La documentation utilisateur est presque achevée. Plus qu'a expliquer le fonctionnement de la visibilité, comment accepter/refuser des participants et s'inscrire à un voyage.</t>
  </si>
  <si>
    <t>2.5h</t>
  </si>
  <si>
    <t>La documentation a été achevée.</t>
  </si>
  <si>
    <t>Relecture de la documentation.</t>
  </si>
  <si>
    <t>Fin de rédaction de la documentation.</t>
  </si>
  <si>
    <t>Création de documentation utilisateur.</t>
  </si>
  <si>
    <t>Quelques fautes d'orthographe ont été corrigées.</t>
  </si>
  <si>
    <t>Rien à signaler.</t>
  </si>
  <si>
    <t>Relecture finale.</t>
  </si>
  <si>
    <t>4h</t>
  </si>
  <si>
    <t>Relecture du code et génération de la documentation.</t>
  </si>
  <si>
    <t>Rendu</t>
  </si>
  <si>
    <t>Prépartion du rendu.</t>
  </si>
  <si>
    <t>Vérification finale des disques. Vérification de la documenation. Mise en ligne de la version finale du site.</t>
  </si>
  <si>
    <t>Les tests "malicieux" ont également été faits. Rien à signaler.</t>
  </si>
  <si>
    <t>Réception du cahier des charges.</t>
  </si>
  <si>
    <t>L'ensemble du projet a été planifié. Des changements sont possibles après l'analyse.</t>
  </si>
  <si>
    <t>Entrevue avec M.Chavey pour discuter des détails sur l'utilisation du site.</t>
  </si>
  <si>
    <t>Création des maquettes.</t>
  </si>
  <si>
    <t>Création MCD et MLD.</t>
  </si>
  <si>
    <t>Cette tâche devait être terminée le jour de son commencement selon Msproject. Hors les 4 heures de documentation se sont intercalées entre les différentes tâches. De ce fait la planning est décalé d'une heure environ. Le MCD a été réalisé. Le MLD est en cours de réalisation. 45 minutes sont encore nécessaires à son achèvement.</t>
  </si>
  <si>
    <t>Achèvement du MLD.</t>
  </si>
  <si>
    <t>Récupération.</t>
  </si>
  <si>
    <t>Au moment de push sur GitHub les modifications faites au cours de la matinée, un bug s'est produit et le projet et revenu au dernier commit. Tous les changements faits entre le dernier commit et ce moment ont été perdus. Tout a été refait.</t>
  </si>
  <si>
    <t>Création script de base de données avec données fictives.</t>
  </si>
  <si>
    <t>(voir Database/TP_Data.sql) Ce script permet d'insérer dans la base de données créée par (Database/TP_Database.sql) de fausses données de test. La base de données n'inclut pas les images mais des booléens pour dire si l'utilisateur a ou non téléchargé une image. Il faut tout de même ajouter l'arberscence des fichiers de test manuellement. En production, l'arborescence sera gérée en fonction des actions utilisateurs.</t>
  </si>
  <si>
    <t>Création du script de base de données.</t>
  </si>
  <si>
    <t>La planification a été ajoutée à la documentation. Le modèle de base de données manquait d'un champ pour la date de création des voyages pour les trier par ordre.</t>
  </si>
  <si>
    <t>La page d'accueil a correctement été implémentée conformement aux maquettes. Seule la version du point de vue "visiteur" a été réalisée. La version "Membre authentifié" sera ajouté lorsque le système d'authentification aura été ajouté.</t>
  </si>
  <si>
    <t>Vérification du travail en cours avec M.Chavey.</t>
  </si>
  <si>
    <t>Page d'inscription.</t>
  </si>
  <si>
    <t>Page de changement de mot de passe.</t>
  </si>
  <si>
    <t>Page mes voyages.</t>
  </si>
  <si>
    <t>Page de création des voyages.</t>
  </si>
  <si>
    <t>Page de changement de l'intitulé du voyage.</t>
  </si>
  <si>
    <t>Désormais, depuis la page d'un voyage, l'utilisateur peut accéder à un menu pour changer l'intitulé de son voyage (Titre, destination, date de départ et de fin ainsi que l'image).</t>
  </si>
  <si>
    <t>Ajout des hébergements.</t>
  </si>
  <si>
    <t>Sur la page des détails d'un voyage, tous ses hébergements sont également affichés. Un bouton "Ajouter" ouvre un menu et permet d'ajouter un hébergement au voyage en question. Un bouton "Crayon" est affiché à côté de chaque hébergement pour les éditer et un bouton "x" pour les supprimer. Initialement, l'ajout , la modification ainsi que la suppression d'éléments tels que les activités, les transports, les hébergements et les prérequis devaient être implémentés avec de l'AJAX (selon mon analyse). Hors les tests effectués se sont averrés plus compliqués que prévu notament pour le chargement des images. De ce fait, je me suis tourné vers un système plus "traditionnel" sans AJAX afin de ne pas perdre de temps et pour implémenter toutes les fonctionnalités. AJAX n'était pas une obligation mais une spécification que je m'étais fixé pour améliorer l'expérience utilisateur. Cette "régression" ne change en rien le fonctionnement du projet mais impact de manière minime sa fluidité d'utilisation.</t>
  </si>
  <si>
    <t>Ajout des transports.</t>
  </si>
  <si>
    <t>Ajout des activités.</t>
  </si>
  <si>
    <t xml:space="preserve">Les activités sont désormais visibles sur la page des détails d'un voyages. Un bouton "Ajouter" permet d'en créer de nouvelles. L'icône "Crayon" permet de les éditer et la croix permet de les supprimer. </t>
  </si>
  <si>
    <t>Ajout des participants.</t>
  </si>
  <si>
    <t>Visite de M.Graf.</t>
  </si>
  <si>
    <t>Ajout de la liste des prérequis.</t>
  </si>
  <si>
    <t>Ajout de la page de voyages publics.</t>
  </si>
  <si>
    <t>Ajout de la page de demande de mot de passe pour les voyages publics.</t>
  </si>
  <si>
    <t>Cette page permet aux membres authentifiés d'entrer le mot de passe du voyage public qu'ils tentent de consulter.</t>
  </si>
  <si>
    <t>Les utilisateurs qui ont entré le bon mot de passe du voyage public arrivent sur cette page. Tous les boutons de contrôles qui permettent d'éditer, de supprimer ou ajouter des éléments ont été retirés. L'utilisateur qui accède à cette page pour un voyage peut uniquement consulter les informations. Un bouton "Participer" y a été ajouté.</t>
  </si>
  <si>
    <t>Ajout de la page des demandes.</t>
  </si>
  <si>
    <t xml:space="preserve">Les "demandes" sont accessibles depuis la page "Mes voyages" via le bouton "Demandes". Cette page affiches toutes les demandes de participation que l'utilisateur a reçu. Elles sont présentées sous forme tabulaire en montrant la pseudo du demandant ainsi que le titre du voyage auquel il souhaite participer. Deux boutons de contrôles (un vu vert et une croix rouge) permettent d'accepter ou de refuser une demande en un clic. Une personne qui se voit acceptée en tant que "participant" voit le voyage dans la liste "Mes voyages" or elle ne peut tout de même pas l'éditer. Elle peut simplement y accéder sans avoir besoin d'entrer le mot de passe. </t>
  </si>
  <si>
    <t>Un fichier .htacces a été créé. Il retourne toutes les erreur 404 et 500 sur tripplanner.mycpnv.ch/index.php&amp;action=error qui a pour rôle d'appeler la vue view_Error.php qui affiche une page d'erreur plus en adéquation avec le site que la page par défaut.</t>
  </si>
  <si>
    <t>Ajout de la gestion des lien mort et serveur error (404 et 500).</t>
  </si>
  <si>
    <t>Les tests "malicieux" (accès à la page sans être connecté, supprimer des champs, modifier le contenu d'autrui) ont également été faits. Rien à signaler.</t>
  </si>
  <si>
    <t>Rédaction des scénarios de test pour les hébergements (créer, supprimer et modifier).</t>
  </si>
  <si>
    <t>Rédaction des scénarios de test pour les transports (créer, supprimer et modifier).</t>
  </si>
  <si>
    <t>Rédaction des scénarios de test pour les activités (créer, supprimer et modifier).</t>
  </si>
  <si>
    <t>Rédaction des scénarios de test pour les prérequis (créer, supprimer et modifier).</t>
  </si>
  <si>
    <t>Les tests "malicieux" ont également été faits. L'export PDF fonctionne bien mais une version moins dépendante du périphérique d'affichage serait agréable dans une version future.</t>
  </si>
  <si>
    <t>Gravage des CD-ROM.</t>
  </si>
  <si>
    <t>Le contenu a été gravé sur 3 CD-ROM.</t>
  </si>
  <si>
    <t xml:space="preserve">Les use cases sont dans un diagramme. </t>
  </si>
  <si>
    <t>3 sites seront analysés sur leurs méthodes de fonctionnement. Pour le moment un site (zenwego.com) est en cours d'analyse.</t>
  </si>
  <si>
    <t xml:space="preserve">L'analyse concurentielle est terminée. Planificateur.a-contresens.net et facilitatrip.fr ont été également été analysés. Certaines idées sont à reprendre d'autres à exclure (l'un force la réservation sur certains sites uniquement). </t>
  </si>
  <si>
    <t>L'ensemble des vues du site a été modélisé. Seules les vues sur pc avec une résolution de taille moyenne (ou grande) ont été réalisées.</t>
  </si>
  <si>
    <t>Le MLD est terminé. Toutefois, les types des champs utilisés sont encore susceptibles d'être modifiés s'ils ne s'avèrent pas adéquats.</t>
  </si>
  <si>
    <t>Les prérequis sont désormais affichés dans les détails du voyage. Ils peuvent être édités via le bouton "Crayon" et supprimés via la croix. Pour changer l'état d'un prérequis, nous sommes pour le moment obligé de passer par le menu d'édition pour des raisons de simplicité.</t>
  </si>
  <si>
    <t>L'export PDF est fonctionnel. Il souffre cependant parfois de problèmes de mise en page. En effet, il peut arriver qu'une ligne de text soit à cheval entre deux pages. Ce détail fera l'objet de futures améliorations. Pour réaliser cette fonction deux librairies JavaScript ont été utilisées: jsPDF et html2canvas.</t>
  </si>
  <si>
    <t>Les tests "malicieux" ont également été faits. Rien à signaler. Tous les tests ont été rédigés. Herzig Kathleen les exécutera. M.Chavey fait également quelques tests de son côté.</t>
  </si>
  <si>
    <r>
      <t xml:space="preserve">M.Chavey a réalisé une série de tests et a partagé les résultats sur google doc: </t>
    </r>
    <r>
      <rPr>
        <u/>
        <sz val="11"/>
        <color rgb="FF0070C0"/>
        <rFont val="Calibri"/>
        <family val="2"/>
        <scheme val="minor"/>
      </rPr>
      <t>https://docs.google.com/document/d/199j2JL68yQodtDhgxq6tpNyOx6k1IyX83fLAl8L9EgQ/edit</t>
    </r>
    <r>
      <rPr>
        <sz val="11"/>
        <color theme="1"/>
        <rFont val="Calibri"/>
        <family val="2"/>
        <scheme val="minor"/>
      </rPr>
      <t>. L'export PDF est responsif en fonction du périphérique, une option permettait de définir la taille du navigateur à utiliser mais cela semble planter sur mobile. De ce fait nous restons a l'état actuel. J'ai essayé d'ajouter le titre et la destination sur le pdf. Malgré le fait que ces informations soient dans la balise utilisée pour le rendu, seul la destination apparait. Encore une fois c'est un bug et nous restons alors à l'état actuel.</t>
    </r>
  </si>
  <si>
    <t>Quelques commentaires ont été ajoutés. La documentation du code a été générée avec Doxygen. Certaines fonctions ont été renommées.</t>
  </si>
  <si>
    <t>La page des voyages publics a été ajoutée. Elle est accessible depuis la page d'accueil ou depuis le menu en haut de chaque page via le bouton "Voyages publics". Les visiteurs ainsi que les membres authentifiés y ont accès. La mise en page est relativement similaire à la page "Mes voyages" hormis le fait que le créateur du voyage est affiché. Les visiteurs peuvent uniquement voir les voyages sous leur forme tabulaire tandis que les membres ont un bouton "voir" pour insérer le mot de passe du voyage et accéder à ses détails.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</si>
</sst>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u/>
      <sz val="11"/>
      <color rgb="FF0070C0"/>
      <name val="Calibri"/>
      <family val="2"/>
      <scheme val="minor"/>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
    <xf numFmtId="0" fontId="0" fillId="0" borderId="0"/>
  </cellStyleXfs>
  <cellXfs count="45">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0" fillId="0" borderId="0" xfId="0" applyAlignment="1" applyProtection="1">
      <alignment horizontal="center" vertical="center"/>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2" fontId="0" fillId="3" borderId="1" xfId="0" applyNumberFormat="1" applyFill="1" applyBorder="1" applyAlignment="1" applyProtection="1">
      <alignment horizontal="center" vertical="center"/>
      <protection locked="0"/>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2" fontId="0" fillId="4" borderId="1" xfId="0" applyNumberFormat="1" applyFill="1" applyBorder="1" applyAlignment="1" applyProtection="1">
      <alignment horizontal="center" vertical="center"/>
      <protection locked="0"/>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14" fontId="0" fillId="4" borderId="2" xfId="0" applyNumberFormat="1" applyFill="1" applyBorder="1" applyAlignment="1" applyProtection="1">
      <alignment vertical="center"/>
      <protection locked="0"/>
    </xf>
    <xf numFmtId="2" fontId="0" fillId="0" borderId="0" xfId="0" applyNumberFormat="1" applyProtection="1">
      <protection locked="0"/>
    </xf>
    <xf numFmtId="14" fontId="0" fillId="4" borderId="2" xfId="0" applyNumberFormat="1" applyFill="1" applyBorder="1" applyAlignment="1" applyProtection="1">
      <alignment horizontal="center" vertical="center"/>
      <protection locked="0"/>
    </xf>
    <xf numFmtId="14" fontId="0" fillId="4" borderId="4" xfId="0" applyNumberFormat="1" applyFill="1" applyBorder="1" applyAlignment="1" applyProtection="1">
      <alignment horizontal="center" vertical="center"/>
      <protection locked="0"/>
    </xf>
    <xf numFmtId="14" fontId="0" fillId="4" borderId="3" xfId="0" applyNumberFormat="1" applyFill="1" applyBorder="1" applyAlignment="1" applyProtection="1">
      <alignment horizontal="center" vertical="center"/>
      <protection locked="0"/>
    </xf>
    <xf numFmtId="14" fontId="0" fillId="0" borderId="2" xfId="0" applyNumberFormat="1" applyBorder="1" applyAlignment="1" applyProtection="1">
      <alignment horizontal="center" vertical="center"/>
      <protection locked="0"/>
    </xf>
    <xf numFmtId="14" fontId="0" fillId="0" borderId="3" xfId="0" applyNumberFormat="1" applyBorder="1" applyAlignment="1" applyProtection="1">
      <alignment horizontal="center" vertical="center"/>
      <protection locked="0"/>
    </xf>
    <xf numFmtId="14" fontId="0" fillId="0" borderId="4" xfId="0" applyNumberFormat="1" applyBorder="1" applyAlignment="1" applyProtection="1">
      <alignment horizontal="center" vertical="center"/>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0</xdr:col>
          <xdr:colOff>752475</xdr:colOff>
          <xdr:row>4</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8</xdr:row>
          <xdr:rowOff>28575</xdr:rowOff>
        </xdr:from>
        <xdr:to>
          <xdr:col>0</xdr:col>
          <xdr:colOff>990600</xdr:colOff>
          <xdr:row>9</xdr:row>
          <xdr:rowOff>76200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65"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66"/>
  <sheetViews>
    <sheetView tabSelected="1" zoomScaleNormal="100" workbookViewId="0">
      <selection activeCell="A7" sqref="A7:XFD7"/>
    </sheetView>
  </sheetViews>
  <sheetFormatPr baseColWidth="10" defaultColWidth="9.140625" defaultRowHeight="15" x14ac:dyDescent="0.25"/>
  <cols>
    <col min="1" max="1" width="12" style="6" customWidth="1"/>
    <col min="2" max="2" width="12.140625" style="15" hidden="1" customWidth="1"/>
    <col min="3" max="3" width="9.28515625" style="12" customWidth="1"/>
    <col min="4" max="4" width="18.140625" style="6" customWidth="1"/>
    <col min="5" max="5" width="65.7109375" style="13" customWidth="1"/>
    <col min="6" max="6" width="75.140625" style="13" customWidth="1"/>
    <col min="7" max="16384" width="9.140625" style="7"/>
  </cols>
  <sheetData>
    <row r="1" spans="1:9" s="17" customFormat="1" ht="14.1" customHeight="1" x14ac:dyDescent="0.2">
      <c r="A1" s="44" t="s">
        <v>14</v>
      </c>
      <c r="B1" s="44"/>
      <c r="C1" s="44"/>
      <c r="D1" s="44"/>
      <c r="E1" s="44"/>
      <c r="F1" s="44"/>
    </row>
    <row r="2" spans="1:9" s="17" customFormat="1" ht="14.25" x14ac:dyDescent="0.2">
      <c r="A2" s="44"/>
      <c r="B2" s="44"/>
      <c r="C2" s="44"/>
      <c r="D2" s="44"/>
      <c r="E2" s="44"/>
      <c r="F2" s="44"/>
    </row>
    <row r="3" spans="1:9" s="17" customFormat="1" ht="29.25" customHeight="1" x14ac:dyDescent="0.2">
      <c r="D3" s="18"/>
      <c r="E3" s="32" t="s">
        <v>23</v>
      </c>
      <c r="F3" s="31" t="s">
        <v>24</v>
      </c>
    </row>
    <row r="6" spans="1:9" ht="24" customHeight="1" x14ac:dyDescent="0.25">
      <c r="A6" s="19" t="s">
        <v>1</v>
      </c>
      <c r="B6" s="20" t="s">
        <v>11</v>
      </c>
      <c r="C6" s="21" t="s">
        <v>2</v>
      </c>
      <c r="D6" s="19" t="s">
        <v>3</v>
      </c>
      <c r="E6" s="22" t="s">
        <v>0</v>
      </c>
      <c r="F6" s="22" t="s">
        <v>13</v>
      </c>
      <c r="H6" s="37"/>
    </row>
    <row r="7" spans="1:9" ht="30" x14ac:dyDescent="0.25">
      <c r="A7" s="36">
        <v>43257</v>
      </c>
      <c r="B7" s="27">
        <f t="shared" ref="B7" si="0">WEEKNUM(A7)</f>
        <v>23</v>
      </c>
      <c r="C7" s="28" t="s">
        <v>27</v>
      </c>
      <c r="D7" s="29" t="s">
        <v>87</v>
      </c>
      <c r="E7" s="30" t="s">
        <v>88</v>
      </c>
      <c r="F7" s="30" t="s">
        <v>89</v>
      </c>
      <c r="I7" s="11"/>
    </row>
    <row r="8" spans="1:9" x14ac:dyDescent="0.25">
      <c r="A8" s="38">
        <v>43256</v>
      </c>
      <c r="B8" s="27">
        <f t="shared" ref="B8" si="1">WEEKNUM(A8)</f>
        <v>23</v>
      </c>
      <c r="C8" s="28" t="s">
        <v>42</v>
      </c>
      <c r="D8" s="29" t="s">
        <v>87</v>
      </c>
      <c r="E8" s="30" t="s">
        <v>134</v>
      </c>
      <c r="F8" s="30" t="s">
        <v>135</v>
      </c>
      <c r="I8" s="11"/>
    </row>
    <row r="9" spans="1:9" ht="30" x14ac:dyDescent="0.25">
      <c r="A9" s="40"/>
      <c r="B9" s="27">
        <f t="shared" ref="B9" si="2">WEEKNUM(A9)</f>
        <v>0</v>
      </c>
      <c r="C9" s="28" t="s">
        <v>85</v>
      </c>
      <c r="D9" s="29" t="s">
        <v>8</v>
      </c>
      <c r="E9" s="30" t="s">
        <v>86</v>
      </c>
      <c r="F9" s="30" t="s">
        <v>145</v>
      </c>
      <c r="I9" s="11"/>
    </row>
    <row r="10" spans="1:9" x14ac:dyDescent="0.25">
      <c r="A10" s="39"/>
      <c r="B10" s="27">
        <f t="shared" ref="B10" si="3">WEEKNUM(A10)</f>
        <v>0</v>
      </c>
      <c r="C10" s="28" t="s">
        <v>36</v>
      </c>
      <c r="D10" s="29" t="s">
        <v>8</v>
      </c>
      <c r="E10" s="30" t="s">
        <v>84</v>
      </c>
      <c r="F10" s="30" t="s">
        <v>83</v>
      </c>
      <c r="I10" s="11"/>
    </row>
    <row r="11" spans="1:9" x14ac:dyDescent="0.25">
      <c r="A11" s="38">
        <v>43255</v>
      </c>
      <c r="B11" s="27">
        <f t="shared" ref="B11" si="4">WEEKNUM(A11)</f>
        <v>23</v>
      </c>
      <c r="C11" s="28" t="s">
        <v>52</v>
      </c>
      <c r="D11" s="29" t="s">
        <v>8</v>
      </c>
      <c r="E11" s="30" t="s">
        <v>79</v>
      </c>
      <c r="F11" s="30" t="s">
        <v>82</v>
      </c>
      <c r="I11" s="11"/>
    </row>
    <row r="12" spans="1:9" x14ac:dyDescent="0.25">
      <c r="A12" s="39"/>
      <c r="B12" s="27">
        <f t="shared" ref="B12" si="5">WEEKNUM(A12)</f>
        <v>0</v>
      </c>
      <c r="C12" s="28" t="s">
        <v>77</v>
      </c>
      <c r="D12" s="29" t="s">
        <v>8</v>
      </c>
      <c r="E12" s="30" t="s">
        <v>80</v>
      </c>
      <c r="F12" s="30" t="s">
        <v>78</v>
      </c>
      <c r="I12" s="11"/>
    </row>
    <row r="13" spans="1:9" ht="45" x14ac:dyDescent="0.25">
      <c r="A13" s="38">
        <v>43251</v>
      </c>
      <c r="B13" s="27">
        <f t="shared" ref="B13" si="6">WEEKNUM(A13)</f>
        <v>22</v>
      </c>
      <c r="C13" s="28" t="s">
        <v>36</v>
      </c>
      <c r="D13" s="29" t="s">
        <v>8</v>
      </c>
      <c r="E13" s="30" t="s">
        <v>81</v>
      </c>
      <c r="F13" s="30" t="s">
        <v>76</v>
      </c>
      <c r="I13" s="11"/>
    </row>
    <row r="14" spans="1:9" ht="120" x14ac:dyDescent="0.25">
      <c r="A14" s="39"/>
      <c r="B14" s="27">
        <f t="shared" ref="B14" si="7">WEEKNUM(A14)</f>
        <v>0</v>
      </c>
      <c r="C14" s="28" t="s">
        <v>75</v>
      </c>
      <c r="D14" s="29" t="s">
        <v>7</v>
      </c>
      <c r="E14" s="30" t="s">
        <v>74</v>
      </c>
      <c r="F14" s="30" t="s">
        <v>144</v>
      </c>
      <c r="I14" s="11"/>
    </row>
    <row r="15" spans="1:9" ht="45" x14ac:dyDescent="0.25">
      <c r="A15" s="38">
        <v>43250</v>
      </c>
      <c r="B15" s="27">
        <f t="shared" ref="B15" si="8">WEEKNUM(A15)</f>
        <v>22</v>
      </c>
      <c r="C15" s="28" t="s">
        <v>30</v>
      </c>
      <c r="D15" s="29" t="s">
        <v>7</v>
      </c>
      <c r="E15" s="30" t="s">
        <v>73</v>
      </c>
      <c r="F15" s="30" t="s">
        <v>143</v>
      </c>
      <c r="I15" s="11"/>
    </row>
    <row r="16" spans="1:9" ht="45" x14ac:dyDescent="0.25">
      <c r="A16" s="40"/>
      <c r="B16" s="27">
        <f t="shared" ref="B16" si="9">WEEKNUM(A16)</f>
        <v>0</v>
      </c>
      <c r="C16" s="28" t="s">
        <v>30</v>
      </c>
      <c r="D16" s="29" t="s">
        <v>7</v>
      </c>
      <c r="E16" s="30" t="s">
        <v>72</v>
      </c>
      <c r="F16" s="30" t="s">
        <v>133</v>
      </c>
      <c r="I16" s="11"/>
    </row>
    <row r="17" spans="1:9" x14ac:dyDescent="0.25">
      <c r="A17" s="40"/>
      <c r="B17" s="27">
        <f t="shared" ref="B17" si="10">WEEKNUM(A17)</f>
        <v>0</v>
      </c>
      <c r="C17" s="28" t="s">
        <v>38</v>
      </c>
      <c r="D17" s="29" t="s">
        <v>7</v>
      </c>
      <c r="E17" s="30" t="s">
        <v>71</v>
      </c>
      <c r="F17" s="30" t="s">
        <v>90</v>
      </c>
      <c r="I17" s="11"/>
    </row>
    <row r="18" spans="1:9" ht="30" x14ac:dyDescent="0.25">
      <c r="A18" s="40"/>
      <c r="B18" s="27">
        <f t="shared" ref="B18" si="11">WEEKNUM(A18)</f>
        <v>0</v>
      </c>
      <c r="C18" s="28" t="s">
        <v>54</v>
      </c>
      <c r="D18" s="29" t="s">
        <v>7</v>
      </c>
      <c r="E18" s="30" t="s">
        <v>132</v>
      </c>
      <c r="F18" s="30" t="s">
        <v>90</v>
      </c>
      <c r="I18" s="11"/>
    </row>
    <row r="19" spans="1:9" ht="30" x14ac:dyDescent="0.25">
      <c r="A19" s="40"/>
      <c r="B19" s="27">
        <f t="shared" ref="B19" si="12">WEEKNUM(A19)</f>
        <v>0</v>
      </c>
      <c r="C19" s="28" t="s">
        <v>42</v>
      </c>
      <c r="D19" s="29" t="s">
        <v>7</v>
      </c>
      <c r="E19" s="30" t="s">
        <v>131</v>
      </c>
      <c r="F19" s="30" t="s">
        <v>90</v>
      </c>
      <c r="I19" s="11"/>
    </row>
    <row r="20" spans="1:9" ht="30" x14ac:dyDescent="0.25">
      <c r="A20" s="39"/>
      <c r="B20" s="27">
        <f t="shared" ref="B20" si="13">WEEKNUM(A20)</f>
        <v>0</v>
      </c>
      <c r="C20" s="28" t="s">
        <v>60</v>
      </c>
      <c r="D20" s="29" t="s">
        <v>7</v>
      </c>
      <c r="E20" s="30" t="s">
        <v>130</v>
      </c>
      <c r="F20" s="30" t="s">
        <v>90</v>
      </c>
      <c r="I20" s="11"/>
    </row>
    <row r="21" spans="1:9" ht="30" x14ac:dyDescent="0.25">
      <c r="A21" s="38">
        <v>43249</v>
      </c>
      <c r="B21" s="27">
        <f t="shared" ref="B21" si="14">WEEKNUM(A21)</f>
        <v>22</v>
      </c>
      <c r="C21" s="28" t="s">
        <v>60</v>
      </c>
      <c r="D21" s="29" t="s">
        <v>7</v>
      </c>
      <c r="E21" s="30" t="s">
        <v>129</v>
      </c>
      <c r="F21" s="30" t="s">
        <v>90</v>
      </c>
      <c r="I21" s="11"/>
    </row>
    <row r="22" spans="1:9" ht="45" x14ac:dyDescent="0.25">
      <c r="A22" s="40"/>
      <c r="B22" s="27">
        <f t="shared" ref="B22" si="15">WEEKNUM(A22)</f>
        <v>0</v>
      </c>
      <c r="C22" s="28" t="s">
        <v>60</v>
      </c>
      <c r="D22" s="29" t="s">
        <v>7</v>
      </c>
      <c r="E22" s="30" t="s">
        <v>69</v>
      </c>
      <c r="F22" s="30" t="s">
        <v>128</v>
      </c>
      <c r="I22" s="11"/>
    </row>
    <row r="23" spans="1:9" ht="60" x14ac:dyDescent="0.25">
      <c r="A23" s="40"/>
      <c r="B23" s="27">
        <f t="shared" ref="B23" si="16">WEEKNUM(A23)</f>
        <v>0</v>
      </c>
      <c r="C23" s="28" t="s">
        <v>60</v>
      </c>
      <c r="D23" s="29" t="s">
        <v>7</v>
      </c>
      <c r="E23" s="30" t="s">
        <v>68</v>
      </c>
      <c r="F23" s="30" t="s">
        <v>70</v>
      </c>
      <c r="I23" s="11"/>
    </row>
    <row r="24" spans="1:9" ht="30" x14ac:dyDescent="0.25">
      <c r="A24" s="39"/>
      <c r="B24" s="27">
        <f t="shared" ref="B24" si="17">WEEKNUM(A24)</f>
        <v>0</v>
      </c>
      <c r="C24" s="28" t="s">
        <v>36</v>
      </c>
      <c r="D24" s="29" t="s">
        <v>8</v>
      </c>
      <c r="E24" s="30" t="s">
        <v>66</v>
      </c>
      <c r="F24" s="30" t="s">
        <v>67</v>
      </c>
      <c r="I24" s="11"/>
    </row>
    <row r="25" spans="1:9" ht="30" x14ac:dyDescent="0.25">
      <c r="A25" s="38">
        <v>43248</v>
      </c>
      <c r="B25" s="27">
        <f t="shared" ref="B25" si="18">WEEKNUM(A25)</f>
        <v>22</v>
      </c>
      <c r="C25" s="28" t="s">
        <v>36</v>
      </c>
      <c r="D25" s="29" t="s">
        <v>8</v>
      </c>
      <c r="E25" s="30" t="s">
        <v>64</v>
      </c>
      <c r="F25" s="30" t="s">
        <v>65</v>
      </c>
      <c r="I25" s="11"/>
    </row>
    <row r="26" spans="1:9" ht="60" x14ac:dyDescent="0.25">
      <c r="A26" s="40"/>
      <c r="B26" s="27">
        <f t="shared" ref="B26" si="19">WEEKNUM(A26)</f>
        <v>0</v>
      </c>
      <c r="C26" s="28" t="s">
        <v>52</v>
      </c>
      <c r="D26" s="29" t="s">
        <v>6</v>
      </c>
      <c r="E26" s="30" t="s">
        <v>63</v>
      </c>
      <c r="F26" s="30" t="s">
        <v>142</v>
      </c>
      <c r="I26" s="11"/>
    </row>
    <row r="27" spans="1:9" ht="30" x14ac:dyDescent="0.25">
      <c r="A27" s="39"/>
      <c r="B27" s="27">
        <f t="shared" ref="B27" si="20">WEEKNUM(A27)</f>
        <v>0</v>
      </c>
      <c r="C27" s="28" t="s">
        <v>54</v>
      </c>
      <c r="D27" s="29" t="s">
        <v>6</v>
      </c>
      <c r="E27" s="30" t="s">
        <v>61</v>
      </c>
      <c r="F27" s="30" t="s">
        <v>62</v>
      </c>
      <c r="I27" s="11"/>
    </row>
    <row r="28" spans="1:9" ht="60" x14ac:dyDescent="0.25">
      <c r="A28" s="38">
        <v>43244</v>
      </c>
      <c r="B28" s="27">
        <f t="shared" ref="B28" si="21">WEEKNUM(A28)</f>
        <v>21</v>
      </c>
      <c r="C28" s="28" t="s">
        <v>38</v>
      </c>
      <c r="D28" s="29" t="s">
        <v>6</v>
      </c>
      <c r="E28" s="30" t="s">
        <v>127</v>
      </c>
      <c r="F28" s="30" t="s">
        <v>126</v>
      </c>
      <c r="I28" s="11"/>
    </row>
    <row r="29" spans="1:9" ht="135" x14ac:dyDescent="0.25">
      <c r="A29" s="40"/>
      <c r="B29" s="27">
        <f t="shared" ref="B29" si="22">WEEKNUM(A29)</f>
        <v>0</v>
      </c>
      <c r="C29" s="28" t="s">
        <v>60</v>
      </c>
      <c r="D29" s="29" t="s">
        <v>6</v>
      </c>
      <c r="E29" s="30" t="s">
        <v>124</v>
      </c>
      <c r="F29" s="30" t="s">
        <v>125</v>
      </c>
      <c r="I29" s="11"/>
    </row>
    <row r="30" spans="1:9" ht="75" x14ac:dyDescent="0.25">
      <c r="A30" s="40"/>
      <c r="B30" s="27">
        <f t="shared" ref="B30" si="23">WEEKNUM(A30)</f>
        <v>0</v>
      </c>
      <c r="C30" s="28" t="s">
        <v>36</v>
      </c>
      <c r="D30" s="29" t="s">
        <v>6</v>
      </c>
      <c r="E30" s="30" t="s">
        <v>59</v>
      </c>
      <c r="F30" s="30" t="s">
        <v>123</v>
      </c>
      <c r="I30" s="11"/>
    </row>
    <row r="31" spans="1:9" ht="30" x14ac:dyDescent="0.25">
      <c r="A31" s="40"/>
      <c r="B31" s="27">
        <f t="shared" ref="B31" si="24">WEEKNUM(A31)</f>
        <v>0</v>
      </c>
      <c r="C31" s="28" t="s">
        <v>30</v>
      </c>
      <c r="D31" s="29" t="s">
        <v>6</v>
      </c>
      <c r="E31" s="30" t="s">
        <v>121</v>
      </c>
      <c r="F31" s="30" t="s">
        <v>122</v>
      </c>
      <c r="I31" s="11"/>
    </row>
    <row r="32" spans="1:9" ht="105" x14ac:dyDescent="0.25">
      <c r="A32" s="39"/>
      <c r="B32" s="27">
        <f t="shared" ref="B32" si="25">WEEKNUM(A32)</f>
        <v>0</v>
      </c>
      <c r="C32" s="28">
        <v>0.75</v>
      </c>
      <c r="D32" s="29" t="s">
        <v>6</v>
      </c>
      <c r="E32" s="30" t="s">
        <v>120</v>
      </c>
      <c r="F32" s="30" t="s">
        <v>146</v>
      </c>
      <c r="I32" s="11"/>
    </row>
    <row r="33" spans="1:9" ht="60" x14ac:dyDescent="0.25">
      <c r="A33" s="38">
        <v>43243</v>
      </c>
      <c r="B33" s="27">
        <f t="shared" ref="B33" si="26">WEEKNUM(A33)</f>
        <v>21</v>
      </c>
      <c r="C33" s="28" t="s">
        <v>36</v>
      </c>
      <c r="D33" s="29" t="s">
        <v>6</v>
      </c>
      <c r="E33" s="30" t="s">
        <v>119</v>
      </c>
      <c r="F33" s="30" t="s">
        <v>141</v>
      </c>
      <c r="I33" s="11"/>
    </row>
    <row r="34" spans="1:9" ht="60" x14ac:dyDescent="0.25">
      <c r="A34" s="40"/>
      <c r="B34" s="27">
        <f t="shared" ref="B34" si="27">WEEKNUM(A34)</f>
        <v>0</v>
      </c>
      <c r="C34" s="33" t="s">
        <v>34</v>
      </c>
      <c r="D34" s="34" t="s">
        <v>16</v>
      </c>
      <c r="E34" s="35" t="s">
        <v>118</v>
      </c>
      <c r="F34" s="35" t="s">
        <v>58</v>
      </c>
      <c r="I34" s="11"/>
    </row>
    <row r="35" spans="1:9" ht="45" x14ac:dyDescent="0.25">
      <c r="A35" s="40"/>
      <c r="B35" s="27">
        <f t="shared" ref="B35" si="28">WEEKNUM(A35)</f>
        <v>0</v>
      </c>
      <c r="C35" s="28" t="s">
        <v>54</v>
      </c>
      <c r="D35" s="29" t="s">
        <v>6</v>
      </c>
      <c r="E35" s="30" t="s">
        <v>117</v>
      </c>
      <c r="F35" s="30" t="s">
        <v>57</v>
      </c>
      <c r="I35" s="11"/>
    </row>
    <row r="36" spans="1:9" ht="45" x14ac:dyDescent="0.25">
      <c r="A36" s="39"/>
      <c r="B36" s="27">
        <f t="shared" ref="B36" si="29">WEEKNUM(A36)</f>
        <v>0</v>
      </c>
      <c r="C36" s="28" t="s">
        <v>55</v>
      </c>
      <c r="D36" s="29" t="s">
        <v>6</v>
      </c>
      <c r="E36" s="30" t="s">
        <v>115</v>
      </c>
      <c r="F36" s="30" t="s">
        <v>116</v>
      </c>
      <c r="I36" s="11"/>
    </row>
    <row r="37" spans="1:9" ht="75" x14ac:dyDescent="0.25">
      <c r="A37" s="38">
        <v>43242</v>
      </c>
      <c r="B37" s="27">
        <f t="shared" ref="B37" si="30">WEEKNUM(A37)</f>
        <v>21</v>
      </c>
      <c r="C37" s="28" t="s">
        <v>55</v>
      </c>
      <c r="D37" s="29" t="s">
        <v>6</v>
      </c>
      <c r="E37" s="30" t="s">
        <v>114</v>
      </c>
      <c r="F37" s="30" t="s">
        <v>56</v>
      </c>
      <c r="I37" s="11"/>
    </row>
    <row r="38" spans="1:9" ht="195" x14ac:dyDescent="0.25">
      <c r="A38" s="40"/>
      <c r="B38" s="27">
        <f t="shared" ref="B38" si="31">WEEKNUM(A38)</f>
        <v>0</v>
      </c>
      <c r="C38" s="28" t="s">
        <v>27</v>
      </c>
      <c r="D38" s="29" t="s">
        <v>6</v>
      </c>
      <c r="E38" s="30" t="s">
        <v>112</v>
      </c>
      <c r="F38" s="30" t="s">
        <v>113</v>
      </c>
      <c r="I38" s="11"/>
    </row>
    <row r="39" spans="1:9" ht="45" x14ac:dyDescent="0.25">
      <c r="A39" s="39"/>
      <c r="B39" s="27">
        <f t="shared" ref="B39" si="32">WEEKNUM(A39)</f>
        <v>0</v>
      </c>
      <c r="C39" s="28" t="s">
        <v>54</v>
      </c>
      <c r="D39" s="29" t="s">
        <v>6</v>
      </c>
      <c r="E39" s="30" t="s">
        <v>110</v>
      </c>
      <c r="F39" s="30" t="s">
        <v>111</v>
      </c>
      <c r="I39" s="11"/>
    </row>
    <row r="40" spans="1:9" x14ac:dyDescent="0.25">
      <c r="A40" s="38">
        <v>43237</v>
      </c>
      <c r="B40" s="27">
        <f t="shared" ref="B40" si="33">WEEKNUM(A40)</f>
        <v>20</v>
      </c>
      <c r="C40" s="28" t="s">
        <v>52</v>
      </c>
      <c r="D40" s="29" t="s">
        <v>6</v>
      </c>
      <c r="E40" s="30" t="s">
        <v>109</v>
      </c>
      <c r="F40" s="30" t="s">
        <v>53</v>
      </c>
      <c r="I40" s="11"/>
    </row>
    <row r="41" spans="1:9" ht="30" x14ac:dyDescent="0.25">
      <c r="A41" s="40"/>
      <c r="B41" s="27">
        <f t="shared" ref="B41" si="34">WEEKNUM(A41)</f>
        <v>0</v>
      </c>
      <c r="C41" s="28" t="s">
        <v>52</v>
      </c>
      <c r="D41" s="29" t="s">
        <v>6</v>
      </c>
      <c r="E41" s="30" t="s">
        <v>108</v>
      </c>
      <c r="F41" s="30" t="s">
        <v>51</v>
      </c>
      <c r="I41" s="11"/>
    </row>
    <row r="42" spans="1:9" ht="45" x14ac:dyDescent="0.25">
      <c r="A42" s="40"/>
      <c r="B42" s="27">
        <f t="shared" ref="B42" si="35">WEEKNUM(A42)</f>
        <v>0</v>
      </c>
      <c r="C42" s="28" t="s">
        <v>38</v>
      </c>
      <c r="D42" s="29" t="s">
        <v>6</v>
      </c>
      <c r="E42" s="30" t="s">
        <v>49</v>
      </c>
      <c r="F42" s="30" t="s">
        <v>50</v>
      </c>
      <c r="I42" s="11"/>
    </row>
    <row r="43" spans="1:9" ht="45" x14ac:dyDescent="0.25">
      <c r="A43" s="39"/>
      <c r="B43" s="27">
        <f t="shared" ref="B43" si="36">WEEKNUM(A43)</f>
        <v>0</v>
      </c>
      <c r="C43" s="28" t="s">
        <v>30</v>
      </c>
      <c r="D43" s="29" t="s">
        <v>5</v>
      </c>
      <c r="E43" s="30" t="s">
        <v>47</v>
      </c>
      <c r="F43" s="30" t="s">
        <v>48</v>
      </c>
      <c r="I43" s="11"/>
    </row>
    <row r="44" spans="1:9" ht="30" x14ac:dyDescent="0.25">
      <c r="A44" s="38">
        <v>43236</v>
      </c>
      <c r="B44" s="27">
        <f t="shared" ref="B44" si="37">WEEKNUM(A44)</f>
        <v>20</v>
      </c>
      <c r="C44" s="28" t="s">
        <v>45</v>
      </c>
      <c r="D44" s="29" t="s">
        <v>6</v>
      </c>
      <c r="E44" s="30" t="s">
        <v>107</v>
      </c>
      <c r="F44" s="30" t="s">
        <v>46</v>
      </c>
      <c r="I44" s="11"/>
    </row>
    <row r="45" spans="1:9" ht="30" x14ac:dyDescent="0.25">
      <c r="A45" s="40"/>
      <c r="B45" s="27">
        <f t="shared" ref="B45" si="38">WEEKNUM(A45)</f>
        <v>0</v>
      </c>
      <c r="C45" s="28" t="s">
        <v>42</v>
      </c>
      <c r="D45" s="29" t="s">
        <v>6</v>
      </c>
      <c r="E45" s="30" t="s">
        <v>43</v>
      </c>
      <c r="F45" s="30" t="s">
        <v>44</v>
      </c>
      <c r="I45" s="11"/>
    </row>
    <row r="46" spans="1:9" ht="30" x14ac:dyDescent="0.25">
      <c r="A46" s="40"/>
      <c r="B46" s="27">
        <f t="shared" ref="B46" si="39">WEEKNUM(A46)</f>
        <v>0</v>
      </c>
      <c r="C46" s="28" t="s">
        <v>38</v>
      </c>
      <c r="D46" s="29" t="s">
        <v>6</v>
      </c>
      <c r="E46" s="30" t="s">
        <v>39</v>
      </c>
      <c r="F46" s="30" t="s">
        <v>40</v>
      </c>
      <c r="I46" s="11"/>
    </row>
    <row r="47" spans="1:9" x14ac:dyDescent="0.25">
      <c r="A47" s="40"/>
      <c r="B47" s="27">
        <f t="shared" ref="B47" si="40">WEEKNUM(A47)</f>
        <v>0</v>
      </c>
      <c r="C47" s="28" t="s">
        <v>36</v>
      </c>
      <c r="D47" s="29" t="s">
        <v>6</v>
      </c>
      <c r="E47" s="30" t="s">
        <v>106</v>
      </c>
      <c r="F47" s="30" t="s">
        <v>37</v>
      </c>
      <c r="I47" s="11"/>
    </row>
    <row r="48" spans="1:9" ht="45" x14ac:dyDescent="0.25">
      <c r="A48" s="40"/>
      <c r="B48" s="23">
        <f t="shared" ref="B48" si="41">WEEKNUM(A48)</f>
        <v>0</v>
      </c>
      <c r="C48" s="24" t="s">
        <v>34</v>
      </c>
      <c r="D48" s="25" t="s">
        <v>16</v>
      </c>
      <c r="E48" s="26" t="s">
        <v>105</v>
      </c>
      <c r="F48" s="26" t="s">
        <v>35</v>
      </c>
      <c r="I48" s="11"/>
    </row>
    <row r="49" spans="1:9" ht="45" x14ac:dyDescent="0.25">
      <c r="A49" s="40"/>
      <c r="B49" s="27">
        <f t="shared" ref="B49" si="42">WEEKNUM(A49)</f>
        <v>0</v>
      </c>
      <c r="C49" s="28" t="s">
        <v>31</v>
      </c>
      <c r="D49" s="29" t="s">
        <v>6</v>
      </c>
      <c r="E49" s="30" t="s">
        <v>32</v>
      </c>
      <c r="F49" s="30" t="s">
        <v>104</v>
      </c>
      <c r="I49" s="11"/>
    </row>
    <row r="50" spans="1:9" ht="45" x14ac:dyDescent="0.25">
      <c r="A50" s="39"/>
      <c r="B50" s="27">
        <f t="shared" ref="B50" si="43">WEEKNUM(A50)</f>
        <v>0</v>
      </c>
      <c r="C50" s="28" t="s">
        <v>30</v>
      </c>
      <c r="D50" s="29" t="s">
        <v>5</v>
      </c>
      <c r="E50" s="30" t="s">
        <v>33</v>
      </c>
      <c r="F50" s="30" t="s">
        <v>103</v>
      </c>
      <c r="I50" s="11"/>
    </row>
    <row r="51" spans="1:9" x14ac:dyDescent="0.25">
      <c r="A51" s="38">
        <v>43235</v>
      </c>
      <c r="B51" s="27">
        <f t="shared" ref="B51" si="44">WEEKNUM(A51)</f>
        <v>20</v>
      </c>
      <c r="C51" s="28" t="s">
        <v>27</v>
      </c>
      <c r="D51" s="29" t="s">
        <v>6</v>
      </c>
      <c r="E51" s="30" t="s">
        <v>28</v>
      </c>
      <c r="F51" s="30" t="s">
        <v>29</v>
      </c>
      <c r="I51" s="11"/>
    </row>
    <row r="52" spans="1:9" ht="90" x14ac:dyDescent="0.25">
      <c r="A52" s="40"/>
      <c r="B52" s="27">
        <f t="shared" ref="B52" si="45">WEEKNUM(A52)</f>
        <v>0</v>
      </c>
      <c r="C52" s="28">
        <v>1</v>
      </c>
      <c r="D52" s="29" t="s">
        <v>6</v>
      </c>
      <c r="E52" s="30" t="s">
        <v>100</v>
      </c>
      <c r="F52" s="30" t="s">
        <v>101</v>
      </c>
      <c r="I52" s="11"/>
    </row>
    <row r="53" spans="1:9" ht="45" x14ac:dyDescent="0.25">
      <c r="A53" s="40"/>
      <c r="B53" s="27">
        <f t="shared" ref="B53" si="46">WEEKNUM(A53)</f>
        <v>0</v>
      </c>
      <c r="C53" s="28">
        <v>1</v>
      </c>
      <c r="D53" s="29" t="s">
        <v>6</v>
      </c>
      <c r="E53" s="30" t="s">
        <v>98</v>
      </c>
      <c r="F53" s="30" t="s">
        <v>99</v>
      </c>
      <c r="I53" s="11"/>
    </row>
    <row r="54" spans="1:9" ht="30" x14ac:dyDescent="0.25">
      <c r="A54" s="40"/>
      <c r="B54" s="27">
        <f t="shared" ref="B54" si="47">WEEKNUM(A54)</f>
        <v>0</v>
      </c>
      <c r="C54" s="28">
        <v>1</v>
      </c>
      <c r="D54" s="29" t="s">
        <v>6</v>
      </c>
      <c r="E54" s="30" t="s">
        <v>102</v>
      </c>
      <c r="F54" s="30" t="s">
        <v>41</v>
      </c>
      <c r="I54" s="11"/>
    </row>
    <row r="55" spans="1:9" ht="30" x14ac:dyDescent="0.25">
      <c r="A55" s="39"/>
      <c r="B55" s="27">
        <f t="shared" ref="B55" si="48">WEEKNUM(A55)</f>
        <v>0</v>
      </c>
      <c r="C55" s="28">
        <v>0.75</v>
      </c>
      <c r="D55" s="29" t="s">
        <v>5</v>
      </c>
      <c r="E55" s="30" t="s">
        <v>97</v>
      </c>
      <c r="F55" s="30" t="s">
        <v>140</v>
      </c>
      <c r="I55" s="11"/>
    </row>
    <row r="56" spans="1:9" ht="75" x14ac:dyDescent="0.25">
      <c r="A56" s="38">
        <v>43234</v>
      </c>
      <c r="B56" s="27">
        <f t="shared" ref="B56" si="49">WEEKNUM(A56)</f>
        <v>20</v>
      </c>
      <c r="C56" s="28">
        <v>2.25</v>
      </c>
      <c r="D56" s="29" t="s">
        <v>5</v>
      </c>
      <c r="E56" s="30" t="s">
        <v>95</v>
      </c>
      <c r="F56" s="30" t="s">
        <v>96</v>
      </c>
      <c r="I56" s="11"/>
    </row>
    <row r="57" spans="1:9" ht="30" x14ac:dyDescent="0.25">
      <c r="A57" s="39"/>
      <c r="B57" s="27">
        <f t="shared" ref="B57:B64" si="50">WEEKNUM(A57)</f>
        <v>0</v>
      </c>
      <c r="C57" s="28">
        <v>2.5</v>
      </c>
      <c r="D57" s="29" t="s">
        <v>5</v>
      </c>
      <c r="E57" s="30" t="s">
        <v>94</v>
      </c>
      <c r="F57" s="30" t="s">
        <v>139</v>
      </c>
      <c r="I57" s="11"/>
    </row>
    <row r="58" spans="1:9" x14ac:dyDescent="0.25">
      <c r="A58" s="38">
        <v>43229</v>
      </c>
      <c r="B58" s="27">
        <f t="shared" si="50"/>
        <v>19</v>
      </c>
      <c r="C58" s="28">
        <v>3.75</v>
      </c>
      <c r="D58" s="29" t="s">
        <v>5</v>
      </c>
      <c r="E58" s="30" t="s">
        <v>22</v>
      </c>
      <c r="F58" s="30" t="s">
        <v>26</v>
      </c>
      <c r="I58" s="11"/>
    </row>
    <row r="59" spans="1:9" ht="105" x14ac:dyDescent="0.25">
      <c r="A59" s="40"/>
      <c r="B59" s="23">
        <f t="shared" si="50"/>
        <v>0</v>
      </c>
      <c r="C59" s="24">
        <v>0.25</v>
      </c>
      <c r="D59" s="25" t="s">
        <v>16</v>
      </c>
      <c r="E59" s="26" t="s">
        <v>93</v>
      </c>
      <c r="F59" s="26" t="s">
        <v>25</v>
      </c>
      <c r="I59" s="11"/>
    </row>
    <row r="60" spans="1:9" ht="45" x14ac:dyDescent="0.25">
      <c r="A60" s="39"/>
      <c r="B60" s="14">
        <f t="shared" si="50"/>
        <v>0</v>
      </c>
      <c r="C60" s="8">
        <v>2.75</v>
      </c>
      <c r="D60" s="9" t="s">
        <v>5</v>
      </c>
      <c r="E60" s="10" t="s">
        <v>21</v>
      </c>
      <c r="F60" s="10" t="s">
        <v>138</v>
      </c>
      <c r="I60" s="11"/>
    </row>
    <row r="61" spans="1:9" ht="30" x14ac:dyDescent="0.25">
      <c r="A61" s="41">
        <v>43228</v>
      </c>
      <c r="B61" s="14">
        <f t="shared" si="50"/>
        <v>19</v>
      </c>
      <c r="C61" s="8">
        <v>0.75</v>
      </c>
      <c r="D61" s="9" t="s">
        <v>5</v>
      </c>
      <c r="E61" s="10" t="s">
        <v>21</v>
      </c>
      <c r="F61" s="10" t="s">
        <v>137</v>
      </c>
      <c r="I61" s="11"/>
    </row>
    <row r="62" spans="1:9" x14ac:dyDescent="0.25">
      <c r="A62" s="42"/>
      <c r="B62" s="14">
        <f t="shared" si="50"/>
        <v>0</v>
      </c>
      <c r="C62" s="8">
        <v>2</v>
      </c>
      <c r="D62" s="9" t="s">
        <v>5</v>
      </c>
      <c r="E62" s="10" t="s">
        <v>20</v>
      </c>
      <c r="F62" s="10" t="s">
        <v>136</v>
      </c>
      <c r="I62" s="11"/>
    </row>
    <row r="63" spans="1:9" ht="30" x14ac:dyDescent="0.25">
      <c r="A63" s="42"/>
      <c r="B63" s="14">
        <f t="shared" si="50"/>
        <v>0</v>
      </c>
      <c r="C63" s="8">
        <v>1.5</v>
      </c>
      <c r="D63" s="9" t="s">
        <v>5</v>
      </c>
      <c r="E63" s="10" t="s">
        <v>19</v>
      </c>
      <c r="F63" s="10" t="s">
        <v>92</v>
      </c>
      <c r="I63" s="11"/>
    </row>
    <row r="64" spans="1:9" x14ac:dyDescent="0.25">
      <c r="A64" s="42"/>
      <c r="B64" s="23">
        <f t="shared" si="50"/>
        <v>0</v>
      </c>
      <c r="C64" s="24">
        <v>1</v>
      </c>
      <c r="D64" s="25" t="s">
        <v>16</v>
      </c>
      <c r="E64" s="26" t="s">
        <v>17</v>
      </c>
      <c r="F64" s="26" t="s">
        <v>18</v>
      </c>
      <c r="I64" s="11"/>
    </row>
    <row r="65" spans="1:9" x14ac:dyDescent="0.25">
      <c r="A65" s="43"/>
      <c r="B65" s="14">
        <f t="shared" ref="B65" si="51">WEEKNUM(A65)</f>
        <v>0</v>
      </c>
      <c r="C65" s="8">
        <v>1.5</v>
      </c>
      <c r="D65" s="9" t="s">
        <v>5</v>
      </c>
      <c r="E65" s="10" t="s">
        <v>91</v>
      </c>
      <c r="F65" s="10" t="s">
        <v>15</v>
      </c>
      <c r="I65" s="11"/>
    </row>
    <row r="66" spans="1:9" x14ac:dyDescent="0.25">
      <c r="A66" s="16"/>
      <c r="I66" s="11"/>
    </row>
  </sheetData>
  <sheetProtection selectLockedCells="1"/>
  <mergeCells count="16">
    <mergeCell ref="A11:A12"/>
    <mergeCell ref="A56:A57"/>
    <mergeCell ref="A58:A60"/>
    <mergeCell ref="A61:A65"/>
    <mergeCell ref="A1:F2"/>
    <mergeCell ref="A37:A39"/>
    <mergeCell ref="A40:A43"/>
    <mergeCell ref="A44:A50"/>
    <mergeCell ref="A51:A55"/>
    <mergeCell ref="A33:A36"/>
    <mergeCell ref="A28:A32"/>
    <mergeCell ref="A25:A27"/>
    <mergeCell ref="A21:A24"/>
    <mergeCell ref="A15:A20"/>
    <mergeCell ref="A13:A14"/>
    <mergeCell ref="A8:A10"/>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0</xdr:col>
                    <xdr:colOff>752475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D7:D65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6" sqref="C6"/>
    </sheetView>
  </sheetViews>
  <sheetFormatPr baseColWidth="10" defaultRowHeight="15" x14ac:dyDescent="0.25"/>
  <cols>
    <col min="1" max="1" width="17.140625" customWidth="1"/>
    <col min="2" max="2" width="12.2851562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C14" sqref="C1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87</v>
      </c>
    </row>
    <row r="4" spans="1:1" x14ac:dyDescent="0.25">
      <c r="A4" t="s">
        <v>16</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8</xdr:row>
                    <xdr:rowOff>28575</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2018-06-05T14:21:50Z</dcterms:modified>
</cp:coreProperties>
</file>