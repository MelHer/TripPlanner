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alcChain>
</file>

<file path=xl/sharedStrings.xml><?xml version="1.0" encoding="utf-8"?>
<sst xmlns="http://schemas.openxmlformats.org/spreadsheetml/2006/main" count="169" uniqueCount="112">
  <si>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</si>
  <si>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</si>
  <si>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</si>
  <si>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</si>
  <si>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</si>
  <si>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</si>
  <si>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</si>
  <si>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</si>
  <si>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</si>
  <si>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</si>
  <si>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</si>
  <si>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</si>
  <si>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</si>
  <si>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</si>
  <si>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</si>
  <si>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</si>
  <si>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</si>
  <si>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</si>
  <si>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</si>
  <si>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</si>
  <si>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</si>
  <si>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</si>
  <si>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</si>
  <si>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</si>
  <si>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</si>
  <si>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</si>
  <si>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</si>
  <si>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</si>
  <si>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</si>
  <si>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</si>
  <si>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</si>
  <si>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</si>
  <si>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</si>
  <si>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</si>
  <si>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</si>
  <si>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</si>
  <si>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45 minutes sont encore nécessaires à son achèvement.</t>
  </si>
  <si>
    <t>Achèvement du MLD</t>
  </si>
  <si>
    <t>Le MLD est terminé. Toutefois, les types de champs utilisés sont encore susceptibles d'être modifié si ils ne s'avèrent pas adéquats.</t>
  </si>
  <si>
    <t>Création du script de base de données</t>
  </si>
  <si>
    <t>Récupération</t>
  </si>
  <si>
    <t>Au moment de push sur GitHub les modifications faites au cours de la matinée, un bug s'est produit et le projet et revenu au dernier commit. Tout les changements fait entre le dernier commit et ce moment ont été perdus. Tout a été refait.</t>
  </si>
  <si>
    <t>Création script de base de données avec données fictives</t>
  </si>
  <si>
    <t>3h</t>
  </si>
  <si>
    <t>Préparation du template.</t>
  </si>
  <si>
    <t>Le template a été découpé et préparé de manière à respecter le modèle MVC.</t>
  </si>
  <si>
    <t>(voir Database/TP_Data.sql) Ce script permet d'insérer dans la base de données créée par (Database/TP_Database.sql) des fausses données de test. La base de données n'inclut pas les images mais des booléens pour dire si l'utilisateur a ou non upload une image. De ce fait la plus part des données utiliseront les images par défaut. Il faudra tout de même ajouter l'arberscence des fichiers de test manuellement. En production l'arborescence sera gérée en fonction des actions utilisateurs.</t>
  </si>
  <si>
    <t>0.75h</t>
  </si>
  <si>
    <t>La planification a été ajouté à la documentation. Le modèle de base de données manquait d'un champ pour le date de création des voyages pour les trier par ordre.</t>
  </si>
  <si>
    <t>0.25h</t>
  </si>
  <si>
    <t>Création de la page d'accueil.</t>
  </si>
  <si>
    <t>Ajout de la planification et modification du modèle de base de données.</t>
  </si>
  <si>
    <t>La page d'accueil a correctement été implémentée conformement aux maquettes. Seul la version du point de vue "visiteur" a été réalisée. La version "Membre authentifié" sera ajouté lorsque le système d'authentification aura été ajouté.</t>
  </si>
  <si>
    <t>0.45h</t>
  </si>
  <si>
    <t>Vérification du travail en cours avec M.Chavey</t>
  </si>
  <si>
    <t>Quelques modifications sont à apporter à la base de donnés au niveau de la checklist. Elle adopte un caractère plus personnel pour l'organisateur. Elle devient une liste de prérequis et non de simples affaires à prévoire.</t>
  </si>
  <si>
    <t>1.5h</t>
  </si>
  <si>
    <t>Page d'enregistrement de compte.</t>
  </si>
  <si>
    <t>Un visiteur peut maintenant créer un compte pour utiliser Trip Planner.</t>
  </si>
  <si>
    <t>0.5h</t>
  </si>
  <si>
    <t>Page de connexion.</t>
  </si>
  <si>
    <t>Un membre peut désormais se connecter au site pour bénéficier de toutes les fonctionnalités.</t>
  </si>
  <si>
    <t>(voir Database/TP_Database.sql) Ce script crée la structure de la base de données (tables, index, contraintes).</t>
  </si>
  <si>
    <t>1.25h</t>
  </si>
  <si>
    <t>Page de suppression du compte.</t>
  </si>
  <si>
    <t>Les utilisateurs peuvent désormais supprimer leur compte en ayant au préalable confirmé la suppression avec leur mot de passe.</t>
  </si>
  <si>
    <t>1.h</t>
  </si>
  <si>
    <t>Page de changement de mot de passe</t>
  </si>
  <si>
    <t>Les utilisateurs peuvent désormais changer leur mot de passe en tappant une fois l'ancien et deux fois le nouveau dans le menu prévu à cet effet.</t>
  </si>
  <si>
    <t>Mise à jour de la documentation.</t>
  </si>
  <si>
    <t>Un voyage se voit attribuer deux nouveaux attributs: date de départ et date de fin. Les maquettes, les scénarios et la modélisation de la base de données ont été actualisés.</t>
  </si>
  <si>
    <t>0.75.h</t>
  </si>
  <si>
    <t>Ajout de la gestion du dossier utilisateur.</t>
  </si>
  <si>
    <t>A la création d'un compte, un dossier utilisateur: user&lt;id&gt; est créé pour stocker ses images. A la suppression du compte, le dossier et les sous dossiers sont effacés.</t>
  </si>
  <si>
    <t>Page mes voyages</t>
  </si>
  <si>
    <t>L'utilisateur peut voir la liste de ses voyages et défiler par page  (5 voyages par page) classés du plus récent au plus vieux.</t>
  </si>
  <si>
    <t>2h</t>
  </si>
  <si>
    <t>Page de création de voyages</t>
  </si>
  <si>
    <t>L'utilisateur peut désormais créer de nouveaux voyages.</t>
  </si>
  <si>
    <t>1h</t>
  </si>
  <si>
    <t>Page de changement de l'intitulé du voyage</t>
  </si>
  <si>
    <t>Désormais, depuis la page d'un voyage, l'utilisateur peut accéder à un menu pour changer l'intitulé de son voyage (Titre, destination, date de départ et de fin ainsi que l'image)</t>
  </si>
  <si>
    <t>Ajout des hébergements</t>
  </si>
  <si>
    <t>Ajout des transports</t>
  </si>
  <si>
    <t>2.75h</t>
  </si>
  <si>
    <t xml:space="preserve">Le system "CRUD" des transport a été implémenté. L'affichage des transports d'un voyage se fait dans les détails du voyage. Un bouton "Ajouter" permet de créer de nouveaux transports pour le voyage en question. Un bouton "Crayon" à côté de chaque transport permet d'éditer le transport vers lequel il se trouve. Un bouton "x" permet de supprimer le transport auquel il est lié. </t>
  </si>
  <si>
    <t>Sur la page des détails d'un voyage, tous ses hébergements sont également affichés. Un bouton "Ajouter" ouvre un menu et permet d'ajouter un hébergement au voyage en question. Un bouton "Crayon" est affiché à côté de chaque hébergement pour les éditer et un bouton "x" pour les supprimer. Initialement, ajout , la modification ainsi que la suppression d'éléments tels que les activités, transports, hébergements et prérequis devaient être implémenté avec de l'AJAX (selon mon analyse). Hors les tests effectués se sont averrés plus compliqués que prévu notament pour le chargement des images. De ce fait, je me suis tourné vers un système plus "traditionnel" sans AJAX afin de ne pas perdre de temps et pour implémenter toutes les fonctionnalités. AJAX n'était pas une obligation mais une spécification que je m'étais fixé pour améliorer l'expérience utilisateur. Cette "régression" ne change en rien le fonctionnement du projet mais impact de manière minime sa fluidité dans l'utilisation.</t>
  </si>
  <si>
    <t>Ajout des activités</t>
  </si>
  <si>
    <t xml:space="preserve">Les activités sont désormais visibles sur la page des détails d'un voyages. Un bouton "Ajouter" permet d'en créer de nouvelles. L'icône "Crayon" permet de les éditer et la croix rouge permet de les supprimer. </t>
  </si>
  <si>
    <t>Ajout des participants</t>
  </si>
  <si>
    <t>Le créateur d'un voyage peut visionner qui y participe (personnes qu'il aura accepté préalablement) sur la page des détails de son voyage. Une croix permet de les retirer du voyage.</t>
  </si>
  <si>
    <t>Visite de M.Graf</t>
  </si>
  <si>
    <t>Le site avance bien. Il faut différencier le titre du voyage et sa description. Ajouter dans les améliorations une meilleur gestion du compte. Il faut désormais se concentrer sur la partie privé/public et voir si la gestion des pdf peut être réalisée durant le temps imparti, sinon documenter les pistes.</t>
  </si>
  <si>
    <t>Ajout de la liste des prérequis</t>
  </si>
  <si>
    <t>Les prérequis sont désormais affichés dans les détails du voyage. Il peuvent être éditer via le bouton "Crayon" et supprimé via la croix rouge. Pour changer l'état d'un prérequis, nous sommes pour le moment obligé de passé par le menu d'édition pour des raisons de simplicité.</t>
  </si>
  <si>
    <t>Ajout de la page de voyages publics</t>
  </si>
  <si>
    <t>La page des voyages publics a été ajoutée. Elle est accessible depuis la page d'accueil ou depuis le menu en haut de chaque page via le bouton "Voyages publics". Les visiteurs ainsi que les membres authentifiés y ont accès. La mise en page est relativement similaire à la page "Mes voyages" ormis le fait que le créateur du voyage est affiché. Les visiteurs peuvent uniquement voir les voyages sous leur forme tabulaire tandis que les membres ont un bouton "voir" pour insérer le mot de passe du voyage et accéder à ses détails.</t>
  </si>
  <si>
    <t>Ajout de la page de demande de mot de passe pour voyage.</t>
  </si>
  <si>
    <t>Cette page permet au membre authentifié d'entrer le mot de passe du voyage public qu'ils tentent de consulter.</t>
  </si>
  <si>
    <t>Ajout de la page des voyages en lecture seule.</t>
  </si>
  <si>
    <t>Les utilisateurs qui ont entré le bon mot de passe du voyage public arrivent sur cette page. Tous les boutons de contrôles qui permettent d'éditer, de supprimer ou ajouté des éléments ont été retirés. L'utilisateur qui accède à cette page pour un voyage peut uniquement consulter les informations. Un bouton "Participer" y a été ajouté.</t>
  </si>
  <si>
    <t>1.75h</t>
  </si>
  <si>
    <t>Ajout de la page demandes</t>
  </si>
  <si>
    <t xml:space="preserve">Les "demandes" sont accessibles depuis la page "mes voyages" via le bouton "Demandes". Cette page affiches toutes les demandes de participation que l'utilisateur a reçu. Elles sont présntées sous forme tabulaire en montrant la pseudo du demandant ainsi que le titre du voyage auquel il souhaite participer. Deux bouton de contrôles (un vu vert et un croix rouge) permettent d'accepter ou de refuser une demande en un clic. Une personne qui se voit accepté en tant que "participant" voit le voyage dans la liste "Mes voyages" or elle ne peut tout de même pas l'éditer. Elle peut simplement y accéder simplement sans avoir besoin d'entrer le mot de passe. </t>
  </si>
  <si>
    <t>Ajout de la gestion des lien mort et serveur error (404 et 500)</t>
  </si>
  <si>
    <t>Un fichier .htacces a été créé. Il retourne toutes les erreur 404 sur tripplanner.mycpnv.ch/index.php&amp;action=error qui a pour rôle d'appeler la vue view_Error.php qui affiche une page d'erreur plus en adéquation avec le site que la page par défaut.</t>
  </si>
  <si>
    <t>Ajout du changement de visibilité.</t>
  </si>
  <si>
    <t>Le créateur d'un voyage peut changer sa visibilité dans la page des détails du voyage.</t>
  </si>
  <si>
    <t>Ajout de l'export PDF.</t>
  </si>
  <si>
    <t>L'export PDF est fonctionnel. Il souffre cependant parfois de problèmes de mise en page. En effet, il peut arriver qu'une ligne de text soit à cheval entre deux page. Ce détail fera l'objet de futures améliorations. Pour réaliser cette fonction deux librairies JavaScript ont été utilisée: jsPDF et html2canvas.</t>
  </si>
  <si>
    <t>Documentation sur l'implémentation.</t>
  </si>
  <si>
    <t>Première relecture de la documentation produite en parralèle jusqu’à aujourd'hui.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</si>
</sst>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4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14" fontId="0" fillId="4" borderId="2" xfId="0" applyNumberFormat="1" applyFill="1" applyBorder="1" applyAlignment="1" applyProtection="1">
      <alignment vertical="center"/>
      <protection locked="0"/>
    </xf>
    <xf numFmtId="14" fontId="0" fillId="4" borderId="2" xfId="0" applyNumberFormat="1" applyFill="1" applyBorder="1" applyAlignment="1" applyProtection="1">
      <alignment horizontal="center" vertical="center"/>
      <protection locked="0"/>
    </xf>
    <xf numFmtId="14" fontId="0" fillId="4" borderId="4" xfId="0" applyNumberFormat="1" applyFill="1" applyBorder="1" applyAlignment="1" applyProtection="1">
      <alignment horizontal="center" vertical="center"/>
      <protection locked="0"/>
    </xf>
    <xf numFmtId="14" fontId="0" fillId="4" borderId="3" xfId="0" applyNumberFormat="1" applyFill="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0</xdr:col>
          <xdr:colOff>752475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47"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8"/>
  <sheetViews>
    <sheetView tabSelected="1" zoomScaleNormal="100" workbookViewId="0">
      <selection activeCell="F7" sqref="F7"/>
    </sheetView>
  </sheetViews>
  <sheetFormatPr baseColWidth="10" defaultColWidth="9.140625" defaultRowHeight="15" x14ac:dyDescent="0.25"/>
  <cols>
    <col min="1" max="1" width="12" style="6" customWidth="1"/>
    <col min="2" max="2" width="12.140625" style="15" hidden="1" customWidth="1"/>
    <col min="3" max="3" width="9.28515625" style="12" customWidth="1"/>
    <col min="4" max="4" width="18.140625" style="6" customWidth="1"/>
    <col min="5" max="5" width="65.7109375" style="13" customWidth="1"/>
    <col min="6" max="6" width="75.140625" style="13" customWidth="1"/>
    <col min="7" max="16384" width="9.140625" style="7"/>
  </cols>
  <sheetData>
    <row r="1" spans="1:9" s="17" customFormat="1" ht="14.1" customHeight="1" x14ac:dyDescent="0.2">
      <c r="A1" s="43" t="s">
        <v>14</v>
      </c>
      <c r="B1" s="43"/>
      <c r="C1" s="43"/>
      <c r="D1" s="43"/>
      <c r="E1" s="43"/>
      <c r="F1" s="43"/>
    </row>
    <row r="2" spans="1:9" s="17" customFormat="1" ht="14.25" x14ac:dyDescent="0.2">
      <c r="A2" s="43"/>
      <c r="B2" s="43"/>
      <c r="C2" s="43"/>
      <c r="D2" s="43"/>
      <c r="E2" s="43"/>
      <c r="F2" s="43"/>
    </row>
    <row r="3" spans="1:9" s="17" customFormat="1" ht="29.25" customHeight="1" x14ac:dyDescent="0.2">
      <c r="D3" s="18"/>
      <c r="E3" s="32" t="s">
        <v>29</v>
      </c>
      <c r="F3" s="31" t="s">
        <v>30</v>
      </c>
    </row>
    <row r="6" spans="1:9" ht="24" customHeight="1" x14ac:dyDescent="0.25">
      <c r="A6" s="19" t="s">
        <v>1</v>
      </c>
      <c r="B6" s="20" t="s">
        <v>11</v>
      </c>
      <c r="C6" s="21" t="s">
        <v>2</v>
      </c>
      <c r="D6" s="19" t="s">
        <v>3</v>
      </c>
      <c r="E6" s="22" t="s">
        <v>0</v>
      </c>
      <c r="F6" s="22" t="s">
        <v>13</v>
      </c>
    </row>
    <row r="7" spans="1:9" ht="30" x14ac:dyDescent="0.25">
      <c r="A7" s="36">
        <v>43248</v>
      </c>
      <c r="B7" s="27">
        <f t="shared" ref="B7" si="0">WEEKNUM(A7)</f>
        <v>22</v>
      </c>
      <c r="C7" s="28" t="s">
        <v>56</v>
      </c>
      <c r="D7" s="29" t="s">
        <v>8</v>
      </c>
      <c r="E7" s="30" t="s">
        <v>110</v>
      </c>
      <c r="F7" s="30" t="s">
        <v>111</v>
      </c>
      <c r="I7" s="11"/>
    </row>
    <row r="8" spans="1:9" ht="60" x14ac:dyDescent="0.25">
      <c r="A8" s="36">
        <v>43248</v>
      </c>
      <c r="B8" s="27">
        <f t="shared" ref="B8" si="1">WEEKNUM(A8)</f>
        <v>22</v>
      </c>
      <c r="C8" s="28" t="s">
        <v>76</v>
      </c>
      <c r="D8" s="29" t="s">
        <v>6</v>
      </c>
      <c r="E8" s="30" t="s">
        <v>108</v>
      </c>
      <c r="F8" s="30" t="s">
        <v>109</v>
      </c>
      <c r="I8" s="11"/>
    </row>
    <row r="9" spans="1:9" ht="30" x14ac:dyDescent="0.25">
      <c r="A9" s="36">
        <v>43248</v>
      </c>
      <c r="B9" s="27">
        <f t="shared" ref="B9" si="2">WEEKNUM(A9)</f>
        <v>22</v>
      </c>
      <c r="C9" s="28" t="s">
        <v>79</v>
      </c>
      <c r="D9" s="29" t="s">
        <v>6</v>
      </c>
      <c r="E9" s="30" t="s">
        <v>106</v>
      </c>
      <c r="F9" s="30" t="s">
        <v>107</v>
      </c>
      <c r="I9" s="11"/>
    </row>
    <row r="10" spans="1:9" ht="60" x14ac:dyDescent="0.25">
      <c r="A10" s="37">
        <v>43244</v>
      </c>
      <c r="B10" s="27">
        <f t="shared" ref="B10" si="3">WEEKNUM(A10)</f>
        <v>21</v>
      </c>
      <c r="C10" s="28" t="s">
        <v>59</v>
      </c>
      <c r="D10" s="29" t="s">
        <v>6</v>
      </c>
      <c r="E10" s="30" t="s">
        <v>104</v>
      </c>
      <c r="F10" s="30" t="s">
        <v>105</v>
      </c>
      <c r="I10" s="11"/>
    </row>
    <row r="11" spans="1:9" ht="135" x14ac:dyDescent="0.25">
      <c r="A11" s="39"/>
      <c r="B11" s="27">
        <f t="shared" ref="B11" si="4">WEEKNUM(A11)</f>
        <v>0</v>
      </c>
      <c r="C11" s="28" t="s">
        <v>101</v>
      </c>
      <c r="D11" s="29" t="s">
        <v>6</v>
      </c>
      <c r="E11" s="30" t="s">
        <v>102</v>
      </c>
      <c r="F11" s="30" t="s">
        <v>103</v>
      </c>
      <c r="I11" s="11"/>
    </row>
    <row r="12" spans="1:9" ht="75" x14ac:dyDescent="0.25">
      <c r="A12" s="39"/>
      <c r="B12" s="27">
        <f t="shared" ref="B12" si="5">WEEKNUM(A12)</f>
        <v>0</v>
      </c>
      <c r="C12" s="28" t="s">
        <v>56</v>
      </c>
      <c r="D12" s="29" t="s">
        <v>6</v>
      </c>
      <c r="E12" s="30" t="s">
        <v>99</v>
      </c>
      <c r="F12" s="30" t="s">
        <v>100</v>
      </c>
      <c r="I12" s="11"/>
    </row>
    <row r="13" spans="1:9" ht="30" x14ac:dyDescent="0.25">
      <c r="A13" s="39"/>
      <c r="B13" s="27">
        <f t="shared" ref="B13" si="6">WEEKNUM(A13)</f>
        <v>0</v>
      </c>
      <c r="C13" s="28" t="s">
        <v>47</v>
      </c>
      <c r="D13" s="29" t="s">
        <v>6</v>
      </c>
      <c r="E13" s="30" t="s">
        <v>97</v>
      </c>
      <c r="F13" s="30" t="s">
        <v>98</v>
      </c>
      <c r="I13" s="11"/>
    </row>
    <row r="14" spans="1:9" ht="105" x14ac:dyDescent="0.25">
      <c r="A14" s="38"/>
      <c r="B14" s="27">
        <f t="shared" ref="B14" si="7">WEEKNUM(A14)</f>
        <v>0</v>
      </c>
      <c r="C14" s="28">
        <v>0.75</v>
      </c>
      <c r="D14" s="29" t="s">
        <v>6</v>
      </c>
      <c r="E14" s="30" t="s">
        <v>95</v>
      </c>
      <c r="F14" s="30" t="s">
        <v>96</v>
      </c>
      <c r="I14" s="11"/>
    </row>
    <row r="15" spans="1:9" ht="60" x14ac:dyDescent="0.25">
      <c r="A15" s="37">
        <v>43243</v>
      </c>
      <c r="B15" s="27">
        <f t="shared" ref="B15" si="8">WEEKNUM(A15)</f>
        <v>21</v>
      </c>
      <c r="C15" s="28" t="s">
        <v>56</v>
      </c>
      <c r="D15" s="29" t="s">
        <v>6</v>
      </c>
      <c r="E15" s="30" t="s">
        <v>93</v>
      </c>
      <c r="F15" s="30" t="s">
        <v>94</v>
      </c>
      <c r="I15" s="11"/>
    </row>
    <row r="16" spans="1:9" ht="60" x14ac:dyDescent="0.25">
      <c r="A16" s="39"/>
      <c r="B16" s="27">
        <f t="shared" ref="B16" si="9">WEEKNUM(A16)</f>
        <v>0</v>
      </c>
      <c r="C16" s="33" t="s">
        <v>53</v>
      </c>
      <c r="D16" s="34" t="s">
        <v>17</v>
      </c>
      <c r="E16" s="35" t="s">
        <v>91</v>
      </c>
      <c r="F16" s="35" t="s">
        <v>92</v>
      </c>
      <c r="I16" s="11"/>
    </row>
    <row r="17" spans="1:9" ht="45" x14ac:dyDescent="0.25">
      <c r="A17" s="39"/>
      <c r="B17" s="27">
        <f t="shared" ref="B17" si="10">WEEKNUM(A17)</f>
        <v>0</v>
      </c>
      <c r="C17" s="28" t="s">
        <v>79</v>
      </c>
      <c r="D17" s="29" t="s">
        <v>6</v>
      </c>
      <c r="E17" s="30" t="s">
        <v>89</v>
      </c>
      <c r="F17" s="30" t="s">
        <v>90</v>
      </c>
      <c r="I17" s="11"/>
    </row>
    <row r="18" spans="1:9" ht="45" x14ac:dyDescent="0.25">
      <c r="A18" s="38"/>
      <c r="B18" s="27">
        <f t="shared" ref="B18" si="11">WEEKNUM(A18)</f>
        <v>0</v>
      </c>
      <c r="C18" s="28" t="s">
        <v>84</v>
      </c>
      <c r="D18" s="29" t="s">
        <v>6</v>
      </c>
      <c r="E18" s="30" t="s">
        <v>87</v>
      </c>
      <c r="F18" s="30" t="s">
        <v>88</v>
      </c>
      <c r="I18" s="11"/>
    </row>
    <row r="19" spans="1:9" ht="75" x14ac:dyDescent="0.25">
      <c r="A19" s="37">
        <v>43242</v>
      </c>
      <c r="B19" s="27">
        <f t="shared" ref="B19" si="12">WEEKNUM(A19)</f>
        <v>21</v>
      </c>
      <c r="C19" s="28" t="s">
        <v>84</v>
      </c>
      <c r="D19" s="29" t="s">
        <v>6</v>
      </c>
      <c r="E19" s="30" t="s">
        <v>83</v>
      </c>
      <c r="F19" s="30" t="s">
        <v>85</v>
      </c>
      <c r="I19" s="11"/>
    </row>
    <row r="20" spans="1:9" ht="195" x14ac:dyDescent="0.25">
      <c r="A20" s="39"/>
      <c r="B20" s="27">
        <f t="shared" ref="B20" si="13">WEEKNUM(A20)</f>
        <v>0</v>
      </c>
      <c r="C20" s="28" t="s">
        <v>43</v>
      </c>
      <c r="D20" s="29" t="s">
        <v>6</v>
      </c>
      <c r="E20" s="30" t="s">
        <v>82</v>
      </c>
      <c r="F20" s="30" t="s">
        <v>86</v>
      </c>
      <c r="I20" s="11"/>
    </row>
    <row r="21" spans="1:9" ht="45" x14ac:dyDescent="0.25">
      <c r="A21" s="38"/>
      <c r="B21" s="27">
        <f t="shared" ref="B21" si="14">WEEKNUM(A21)</f>
        <v>0</v>
      </c>
      <c r="C21" s="28" t="s">
        <v>79</v>
      </c>
      <c r="D21" s="29" t="s">
        <v>6</v>
      </c>
      <c r="E21" s="30" t="s">
        <v>80</v>
      </c>
      <c r="F21" s="30" t="s">
        <v>81</v>
      </c>
      <c r="I21" s="11"/>
    </row>
    <row r="22" spans="1:9" x14ac:dyDescent="0.25">
      <c r="A22" s="37">
        <v>43237</v>
      </c>
      <c r="B22" s="27">
        <f t="shared" ref="B22" si="15">WEEKNUM(A22)</f>
        <v>20</v>
      </c>
      <c r="C22" s="28" t="s">
        <v>76</v>
      </c>
      <c r="D22" s="29" t="s">
        <v>6</v>
      </c>
      <c r="E22" s="30" t="s">
        <v>77</v>
      </c>
      <c r="F22" s="30" t="s">
        <v>78</v>
      </c>
      <c r="I22" s="11"/>
    </row>
    <row r="23" spans="1:9" ht="30" x14ac:dyDescent="0.25">
      <c r="A23" s="39"/>
      <c r="B23" s="27">
        <f t="shared" ref="B23" si="16">WEEKNUM(A23)</f>
        <v>0</v>
      </c>
      <c r="C23" s="28" t="s">
        <v>76</v>
      </c>
      <c r="D23" s="29" t="s">
        <v>6</v>
      </c>
      <c r="E23" s="30" t="s">
        <v>74</v>
      </c>
      <c r="F23" s="30" t="s">
        <v>75</v>
      </c>
      <c r="I23" s="11"/>
    </row>
    <row r="24" spans="1:9" ht="45" x14ac:dyDescent="0.25">
      <c r="A24" s="39"/>
      <c r="B24" s="27">
        <f t="shared" ref="B24" si="17">WEEKNUM(A24)</f>
        <v>0</v>
      </c>
      <c r="C24" s="28" t="s">
        <v>59</v>
      </c>
      <c r="D24" s="29" t="s">
        <v>6</v>
      </c>
      <c r="E24" s="30" t="s">
        <v>72</v>
      </c>
      <c r="F24" s="30" t="s">
        <v>73</v>
      </c>
      <c r="I24" s="11"/>
    </row>
    <row r="25" spans="1:9" ht="45" x14ac:dyDescent="0.25">
      <c r="A25" s="38"/>
      <c r="B25" s="27">
        <f t="shared" ref="B25" si="18">WEEKNUM(A25)</f>
        <v>0</v>
      </c>
      <c r="C25" s="28" t="s">
        <v>71</v>
      </c>
      <c r="D25" s="29" t="s">
        <v>5</v>
      </c>
      <c r="E25" s="30" t="s">
        <v>69</v>
      </c>
      <c r="F25" s="30" t="s">
        <v>70</v>
      </c>
      <c r="I25" s="11"/>
    </row>
    <row r="26" spans="1:9" ht="30" x14ac:dyDescent="0.25">
      <c r="A26" s="37">
        <v>43236</v>
      </c>
      <c r="B26" s="27">
        <f t="shared" ref="B26" si="19">WEEKNUM(A26)</f>
        <v>20</v>
      </c>
      <c r="C26" s="28" t="s">
        <v>66</v>
      </c>
      <c r="D26" s="29" t="s">
        <v>6</v>
      </c>
      <c r="E26" s="30" t="s">
        <v>67</v>
      </c>
      <c r="F26" s="30" t="s">
        <v>68</v>
      </c>
      <c r="I26" s="11"/>
    </row>
    <row r="27" spans="1:9" ht="30" x14ac:dyDescent="0.25">
      <c r="A27" s="39"/>
      <c r="B27" s="27">
        <f t="shared" ref="B27" si="20">WEEKNUM(A27)</f>
        <v>0</v>
      </c>
      <c r="C27" s="28" t="s">
        <v>63</v>
      </c>
      <c r="D27" s="29" t="s">
        <v>6</v>
      </c>
      <c r="E27" s="30" t="s">
        <v>64</v>
      </c>
      <c r="F27" s="30" t="s">
        <v>65</v>
      </c>
      <c r="I27" s="11"/>
    </row>
    <row r="28" spans="1:9" ht="30" x14ac:dyDescent="0.25">
      <c r="A28" s="39"/>
      <c r="B28" s="27">
        <f t="shared" ref="B28" si="21">WEEKNUM(A28)</f>
        <v>0</v>
      </c>
      <c r="C28" s="28" t="s">
        <v>59</v>
      </c>
      <c r="D28" s="29" t="s">
        <v>6</v>
      </c>
      <c r="E28" s="30" t="s">
        <v>60</v>
      </c>
      <c r="F28" s="30" t="s">
        <v>61</v>
      </c>
      <c r="I28" s="11"/>
    </row>
    <row r="29" spans="1:9" x14ac:dyDescent="0.25">
      <c r="A29" s="39"/>
      <c r="B29" s="27">
        <f t="shared" ref="B29" si="22">WEEKNUM(A29)</f>
        <v>0</v>
      </c>
      <c r="C29" s="28" t="s">
        <v>56</v>
      </c>
      <c r="D29" s="29" t="s">
        <v>6</v>
      </c>
      <c r="E29" s="30" t="s">
        <v>57</v>
      </c>
      <c r="F29" s="30" t="s">
        <v>58</v>
      </c>
      <c r="I29" s="11"/>
    </row>
    <row r="30" spans="1:9" ht="45" x14ac:dyDescent="0.25">
      <c r="A30" s="39"/>
      <c r="B30" s="23">
        <f t="shared" ref="B30" si="23">WEEKNUM(A30)</f>
        <v>0</v>
      </c>
      <c r="C30" s="24" t="s">
        <v>53</v>
      </c>
      <c r="D30" s="25" t="s">
        <v>17</v>
      </c>
      <c r="E30" s="26" t="s">
        <v>54</v>
      </c>
      <c r="F30" s="26" t="s">
        <v>55</v>
      </c>
      <c r="I30" s="11"/>
    </row>
    <row r="31" spans="1:9" ht="45" x14ac:dyDescent="0.25">
      <c r="A31" s="39"/>
      <c r="B31" s="27">
        <f t="shared" ref="B31" si="24">WEEKNUM(A31)</f>
        <v>0</v>
      </c>
      <c r="C31" s="28" t="s">
        <v>49</v>
      </c>
      <c r="D31" s="29" t="s">
        <v>6</v>
      </c>
      <c r="E31" s="30" t="s">
        <v>50</v>
      </c>
      <c r="F31" s="30" t="s">
        <v>52</v>
      </c>
      <c r="I31" s="11"/>
    </row>
    <row r="32" spans="1:9" ht="45" x14ac:dyDescent="0.25">
      <c r="A32" s="38"/>
      <c r="B32" s="27">
        <f t="shared" ref="B32" si="25">WEEKNUM(A32)</f>
        <v>0</v>
      </c>
      <c r="C32" s="28" t="s">
        <v>47</v>
      </c>
      <c r="D32" s="29" t="s">
        <v>5</v>
      </c>
      <c r="E32" s="30" t="s">
        <v>51</v>
      </c>
      <c r="F32" s="30" t="s">
        <v>48</v>
      </c>
      <c r="I32" s="11"/>
    </row>
    <row r="33" spans="1:9" x14ac:dyDescent="0.25">
      <c r="A33" s="37">
        <v>43235</v>
      </c>
      <c r="B33" s="27">
        <f t="shared" ref="B33" si="26">WEEKNUM(A33)</f>
        <v>20</v>
      </c>
      <c r="C33" s="28" t="s">
        <v>43</v>
      </c>
      <c r="D33" s="29" t="s">
        <v>6</v>
      </c>
      <c r="E33" s="30" t="s">
        <v>44</v>
      </c>
      <c r="F33" s="30" t="s">
        <v>45</v>
      </c>
      <c r="I33" s="11"/>
    </row>
    <row r="34" spans="1:9" ht="105" x14ac:dyDescent="0.25">
      <c r="A34" s="39"/>
      <c r="B34" s="27">
        <f t="shared" ref="B34" si="27">WEEKNUM(A34)</f>
        <v>0</v>
      </c>
      <c r="C34" s="28">
        <v>1</v>
      </c>
      <c r="D34" s="29" t="s">
        <v>6</v>
      </c>
      <c r="E34" s="30" t="s">
        <v>42</v>
      </c>
      <c r="F34" s="30" t="s">
        <v>46</v>
      </c>
      <c r="I34" s="11"/>
    </row>
    <row r="35" spans="1:9" ht="45" x14ac:dyDescent="0.25">
      <c r="A35" s="39"/>
      <c r="B35" s="27">
        <f t="shared" ref="B35" si="28">WEEKNUM(A35)</f>
        <v>0</v>
      </c>
      <c r="C35" s="28">
        <v>1</v>
      </c>
      <c r="D35" s="29" t="s">
        <v>6</v>
      </c>
      <c r="E35" s="30" t="s">
        <v>40</v>
      </c>
      <c r="F35" s="30" t="s">
        <v>41</v>
      </c>
      <c r="I35" s="11"/>
    </row>
    <row r="36" spans="1:9" ht="30" x14ac:dyDescent="0.25">
      <c r="A36" s="39"/>
      <c r="B36" s="27">
        <f t="shared" ref="B36" si="29">WEEKNUM(A36)</f>
        <v>0</v>
      </c>
      <c r="C36" s="28">
        <v>1</v>
      </c>
      <c r="D36" s="29" t="s">
        <v>6</v>
      </c>
      <c r="E36" s="30" t="s">
        <v>39</v>
      </c>
      <c r="F36" s="30" t="s">
        <v>62</v>
      </c>
      <c r="I36" s="11"/>
    </row>
    <row r="37" spans="1:9" ht="30" x14ac:dyDescent="0.25">
      <c r="A37" s="38"/>
      <c r="B37" s="27">
        <f t="shared" ref="B37" si="30">WEEKNUM(A37)</f>
        <v>0</v>
      </c>
      <c r="C37" s="28">
        <v>0.75</v>
      </c>
      <c r="D37" s="29" t="s">
        <v>5</v>
      </c>
      <c r="E37" s="30" t="s">
        <v>37</v>
      </c>
      <c r="F37" s="30" t="s">
        <v>38</v>
      </c>
      <c r="I37" s="11"/>
    </row>
    <row r="38" spans="1:9" ht="75" x14ac:dyDescent="0.25">
      <c r="A38" s="37">
        <v>43234</v>
      </c>
      <c r="B38" s="27">
        <f t="shared" ref="B38" si="31">WEEKNUM(A38)</f>
        <v>20</v>
      </c>
      <c r="C38" s="28">
        <v>2.25</v>
      </c>
      <c r="D38" s="29" t="s">
        <v>5</v>
      </c>
      <c r="E38" s="30" t="s">
        <v>35</v>
      </c>
      <c r="F38" s="30" t="s">
        <v>36</v>
      </c>
      <c r="I38" s="11"/>
    </row>
    <row r="39" spans="1:9" ht="45" x14ac:dyDescent="0.25">
      <c r="A39" s="38"/>
      <c r="B39" s="27">
        <f t="shared" ref="B39:B46" si="32">WEEKNUM(A39)</f>
        <v>0</v>
      </c>
      <c r="C39" s="28">
        <v>2.5</v>
      </c>
      <c r="D39" s="29" t="s">
        <v>5</v>
      </c>
      <c r="E39" s="30" t="s">
        <v>33</v>
      </c>
      <c r="F39" s="30" t="s">
        <v>34</v>
      </c>
      <c r="I39" s="11"/>
    </row>
    <row r="40" spans="1:9" x14ac:dyDescent="0.25">
      <c r="A40" s="37">
        <v>43229</v>
      </c>
      <c r="B40" s="27">
        <f t="shared" si="32"/>
        <v>19</v>
      </c>
      <c r="C40" s="28">
        <v>3.75</v>
      </c>
      <c r="D40" s="29" t="s">
        <v>5</v>
      </c>
      <c r="E40" s="30" t="s">
        <v>28</v>
      </c>
      <c r="F40" s="30" t="s">
        <v>32</v>
      </c>
      <c r="I40" s="11"/>
    </row>
    <row r="41" spans="1:9" ht="105" x14ac:dyDescent="0.25">
      <c r="A41" s="39"/>
      <c r="B41" s="23">
        <f t="shared" si="32"/>
        <v>0</v>
      </c>
      <c r="C41" s="24">
        <v>0.25</v>
      </c>
      <c r="D41" s="25" t="s">
        <v>17</v>
      </c>
      <c r="E41" s="26" t="s">
        <v>27</v>
      </c>
      <c r="F41" s="26" t="s">
        <v>31</v>
      </c>
      <c r="I41" s="11"/>
    </row>
    <row r="42" spans="1:9" ht="60" x14ac:dyDescent="0.25">
      <c r="A42" s="38"/>
      <c r="B42" s="14">
        <f t="shared" si="32"/>
        <v>0</v>
      </c>
      <c r="C42" s="8">
        <v>2.75</v>
      </c>
      <c r="D42" s="9" t="s">
        <v>5</v>
      </c>
      <c r="E42" s="10" t="s">
        <v>22</v>
      </c>
      <c r="F42" s="10" t="s">
        <v>26</v>
      </c>
      <c r="I42" s="11"/>
    </row>
    <row r="43" spans="1:9" ht="45" x14ac:dyDescent="0.25">
      <c r="A43" s="40">
        <v>43228</v>
      </c>
      <c r="B43" s="14">
        <f t="shared" si="32"/>
        <v>19</v>
      </c>
      <c r="C43" s="8">
        <v>0.75</v>
      </c>
      <c r="D43" s="9" t="s">
        <v>5</v>
      </c>
      <c r="E43" s="10" t="s">
        <v>22</v>
      </c>
      <c r="F43" s="10" t="s">
        <v>23</v>
      </c>
      <c r="I43" s="11"/>
    </row>
    <row r="44" spans="1:9" x14ac:dyDescent="0.25">
      <c r="A44" s="41"/>
      <c r="B44" s="14">
        <f t="shared" si="32"/>
        <v>0</v>
      </c>
      <c r="C44" s="8">
        <v>2</v>
      </c>
      <c r="D44" s="9" t="s">
        <v>5</v>
      </c>
      <c r="E44" s="10" t="s">
        <v>21</v>
      </c>
      <c r="F44" s="10" t="s">
        <v>24</v>
      </c>
      <c r="I44" s="11"/>
    </row>
    <row r="45" spans="1:9" ht="30" x14ac:dyDescent="0.25">
      <c r="A45" s="41"/>
      <c r="B45" s="14">
        <f t="shared" si="32"/>
        <v>0</v>
      </c>
      <c r="C45" s="8">
        <v>1.5</v>
      </c>
      <c r="D45" s="9" t="s">
        <v>5</v>
      </c>
      <c r="E45" s="10" t="s">
        <v>20</v>
      </c>
      <c r="F45" s="10" t="s">
        <v>25</v>
      </c>
      <c r="I45" s="11"/>
    </row>
    <row r="46" spans="1:9" x14ac:dyDescent="0.25">
      <c r="A46" s="41"/>
      <c r="B46" s="23">
        <f t="shared" si="32"/>
        <v>0</v>
      </c>
      <c r="C46" s="24">
        <v>1</v>
      </c>
      <c r="D46" s="25" t="s">
        <v>17</v>
      </c>
      <c r="E46" s="26" t="s">
        <v>18</v>
      </c>
      <c r="F46" s="26" t="s">
        <v>19</v>
      </c>
      <c r="I46" s="11"/>
    </row>
    <row r="47" spans="1:9" x14ac:dyDescent="0.25">
      <c r="A47" s="42"/>
      <c r="B47" s="14">
        <f t="shared" ref="B47" si="33">WEEKNUM(A47)</f>
        <v>0</v>
      </c>
      <c r="C47" s="8">
        <v>1.5</v>
      </c>
      <c r="D47" s="9" t="s">
        <v>5</v>
      </c>
      <c r="E47" s="10" t="s">
        <v>15</v>
      </c>
      <c r="F47" s="10" t="s">
        <v>16</v>
      </c>
      <c r="I47" s="11"/>
    </row>
    <row r="48" spans="1:9" x14ac:dyDescent="0.25">
      <c r="A48" s="16"/>
    </row>
  </sheetData>
  <sheetProtection selectLockedCells="1"/>
  <mergeCells count="10">
    <mergeCell ref="A38:A39"/>
    <mergeCell ref="A40:A42"/>
    <mergeCell ref="A43:A47"/>
    <mergeCell ref="A1:F2"/>
    <mergeCell ref="A19:A21"/>
    <mergeCell ref="A22:A25"/>
    <mergeCell ref="A26:A32"/>
    <mergeCell ref="A33:A37"/>
    <mergeCell ref="A15:A18"/>
    <mergeCell ref="A10:A14"/>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0</xdr:col>
                    <xdr:colOff>752475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2018-05-28T14:04:36Z</dcterms:modified>
</cp:coreProperties>
</file>