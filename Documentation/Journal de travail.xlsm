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definedNames>
    <definedName name="base">Journal!$A$6</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7" i="1" l="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alcChain>
</file>

<file path=xl/sharedStrings.xml><?xml version="1.0" encoding="utf-8"?>
<sst xmlns="http://schemas.openxmlformats.org/spreadsheetml/2006/main" count="122" uniqueCount="87">
  <si>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</si>
  <si>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</si>
  <si>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</si>
  <si>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</si>
  <si>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</si>
  <si>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</si>
  <si>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</si>
  <si>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</si>
  <si>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</si>
  <si>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</si>
  <si>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</si>
  <si>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</si>
  <si>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</si>
  <si>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</si>
  <si>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TPI: Trip Planner</t>
  </si>
  <si>
    <t>Reception du cahier des charges.</t>
  </si>
  <si>
    <t>Prise de connaissance des tâches à réaliser.</t>
  </si>
  <si>
    <t>Entretien</t>
  </si>
  <si>
    <t>Entrevue avec le chef de projet et le premier expert.</t>
  </si>
  <si>
    <t>Nous avons discuté du déroulement du TPI. Tout est claire et en ordre.</t>
  </si>
  <si>
    <t>Création de la planification initiale.</t>
  </si>
  <si>
    <t>Création des use cases.</t>
  </si>
  <si>
    <t>Analyse concurentielle.</t>
  </si>
  <si>
    <t>(voir documentation/Analyse_Concuretielle.docx). 3 sites seront analysés sur leurs méthodes de fonctionnement. Pour le moment un site (zenwego.com) est en cours d'analyse.</t>
  </si>
  <si>
    <t>Les use cases sont dans un diagramme. (voir documentation/Use_Case.asta)</t>
  </si>
  <si>
    <t>L'ensemble du projet a été planifié. Des changements sont possibles après analyse.</t>
  </si>
  <si>
    <t xml:space="preserve">(voir documentation/Analyse_Concuretielle.docx). L'analyse concurentielle est terminée. Planificateur.a-contresens.net et facilitatrip.fr ont été également été analysés. Certaines idées sont à reprendre d'autres à exclure (l'un par exemple force la réservation sur certains sites uniquement). </t>
  </si>
  <si>
    <t>Entrevue avec M.Chavey pour discuter de détails sur l'utilisation du site.</t>
  </si>
  <si>
    <t>Création des scénarios.</t>
  </si>
  <si>
    <t>Réalisé par: Herzig Melvyn, SI-CA2a</t>
  </si>
  <si>
    <t>Légende: les entrées grises représentent les recontres avec le CdP et/ou les experts.</t>
  </si>
  <si>
    <t>Nous avons discuté des differentes caractéristiques des éléments et certains deviennent facultatifs à remplir pour l'utilisateur pour faciliter l'utilisation.
Liste des modifications:
Voyage: l'image devient facultative pour l'utilisateur.
Transport: Le lien, le code, la remarque et l'image deviennent facultatifs.
Hébergement: Le code, le lien, la remarque et l'image sont facultatifs.
Activité: Le lien, la remarque et l'image deviennent facultatifs.</t>
  </si>
  <si>
    <t xml:space="preserve">L'ensemble des scénarios du projet ont été créés. </t>
  </si>
  <si>
    <t>Création des maquettes</t>
  </si>
  <si>
    <t>L'ensemble des vues du site a été modélisé. Seules les vues sur pc avec une résolution de taille moyenne (ou grande) ont été réalisées. (voir Documentation/Maquette.bmpr)</t>
  </si>
  <si>
    <t>Création MCD et MLD</t>
  </si>
  <si>
    <t>Cette tâche devait être terminée le jour de son commencement selon Msproject. Hors les 4heures de documentation se sont intercalées entre les différentes tâches. De ce fait la planning est décalé d'une heure environ. Le MCD a été réalisé. Le MLD est en cours de réalisation , 45 minutes sont encore nécessaires à son achèvement.</t>
  </si>
  <si>
    <t>Achèvement du MLD</t>
  </si>
  <si>
    <t>Le MLD est terminé. Toutefois, les types de champs utilisés sont encore susceptibles d'être modifié si ils ne s'avèrent pas adéquats.</t>
  </si>
  <si>
    <t>Création du script de base de données</t>
  </si>
  <si>
    <t>Récupération</t>
  </si>
  <si>
    <t>Au moment de push sur GitHub les modifications faites au cours de la matinée, un bug s'est produit et le projet et revenu au dernier commit. Tout les changements fait entre le dernier commit et ce moment ont été perdus. Tout a été refait.</t>
  </si>
  <si>
    <t>Création script de base de données avec données fictives</t>
  </si>
  <si>
    <t>3h</t>
  </si>
  <si>
    <t>Préparation du template.</t>
  </si>
  <si>
    <t>Le template a été découpé et préparé de manière à respecter le modèle MVC.</t>
  </si>
  <si>
    <t>(voir Database/TP_Data.sql) Ce script permet d'insérer dans la base de données créée par (Database/TP_Database.sql) des fausses données de test. La base de données n'inclut pas les images mais des booléens pour dire si l'utilisateur a ou non upload une image. De ce fait la plus part des données utiliseront les images par défaut. Il faudra tout de même ajouter l'arberscence des fichiers de test manuellement. En production l'arborescence sera gérée en fonction des actions utilisateurs.</t>
  </si>
  <si>
    <t>0.75h</t>
  </si>
  <si>
    <t>La planification a été ajouté à la documentation. Le modèle de base de données manquait d'un champ pour le date de création des voyages pour les trier par ordre.</t>
  </si>
  <si>
    <t>0.25h</t>
  </si>
  <si>
    <t>Création de la page d'accueil.</t>
  </si>
  <si>
    <t>Ajout de la planification et modification du modèle de base de données.</t>
  </si>
  <si>
    <t>La page d'accueil a correctement été implémentée conformement aux maquettes. Seul la version du point de vue "visiteur" a été réalisée. La version "Membre authentifié" sera ajouté lorsque le système d'authentification aura été ajouté.</t>
  </si>
  <si>
    <t>0.45h</t>
  </si>
  <si>
    <t>Vérification du travail en cours avec M.Chavey</t>
  </si>
  <si>
    <t>Quelques modifications sont à apporter à la base de donnés au niveau de la checklist. Elle adopte un caractère plus personnel pour l'organisateur. Elle devient une liste de prérequis et non de simples affaires à prévoire.</t>
  </si>
  <si>
    <t>1.5h</t>
  </si>
  <si>
    <t>Page d'enregistrement de compte.</t>
  </si>
  <si>
    <t>Un visiteur peut maintenant créer un compte pour utiliser Trip Planner.</t>
  </si>
  <si>
    <t>0.5h</t>
  </si>
  <si>
    <t>Page de connexion.</t>
  </si>
  <si>
    <t>Un membre peut désormais se connecter au site pour bénéficier de toutes les fonctionnalités.</t>
  </si>
  <si>
    <t>(voir Database/TP_Database.sql) Ce script crée la structure de la base de données (tables, index, contraintes).</t>
  </si>
  <si>
    <t>1.25h</t>
  </si>
  <si>
    <t>Page de suppression du compte.</t>
  </si>
  <si>
    <t>Les utilisateurs peuvent désormais supprimer leur compte en ayant au préalable confirmé la suppression avec leur mot de passe.</t>
  </si>
  <si>
    <t>1.h</t>
  </si>
  <si>
    <t>Page de changement de mot de passe</t>
  </si>
  <si>
    <t>Les utilisateurs peuvent désormais changer leur mot de passe en tappant une fois l'ancien et deux fois le nouveau dans le menu prévu à cet effet.</t>
  </si>
  <si>
    <t>Mise à jour de la documentation.</t>
  </si>
  <si>
    <t>Un voyage se voit attribuer deux nouveaux attributs: date de départ et date de fin. Les maquettes, les scénarios et la modélisation de la base de données ont été actualisés.</t>
  </si>
  <si>
    <t>0.75.h</t>
  </si>
  <si>
    <t>Ajout de la gestion du dossier utilisateur.</t>
  </si>
  <si>
    <t>A la création d'un compte, un dossier utilisateur: user&lt;id&gt; est créé pour stocker ses images. A la suppression du compte, le dossier et les sous dossiers sont effacés.</t>
  </si>
  <si>
    <t>Page mes voyages</t>
  </si>
  <si>
    <t>L'utilisateur peut voir la liste de ses voyages et défiler par page  (5 voyages par page) classés du plus récent au plus vieux.</t>
  </si>
  <si>
    <t>2h</t>
  </si>
  <si>
    <t>Page de création de voyages</t>
  </si>
  <si>
    <t>L'utilisateur peut désormais créer de nouveaux voyages.</t>
  </si>
  <si>
    <t>1h</t>
  </si>
  <si>
    <t>Page de changement de l'intitulé du voyage</t>
  </si>
  <si>
    <t>Désormais, depuis la page d'un voyage, l'utilisateur peut accéder à un menu pour changer l'intitulé de son voyage (Titre, destination, date de départ et de fin ainsi que l'image)</t>
  </si>
  <si>
    <t>Ajout des hébergements</t>
  </si>
  <si>
    <t>Ajout des transports</t>
  </si>
  <si>
    <t>2.75h</t>
  </si>
  <si>
    <t xml:space="preserve">Le system "CRUD" des transport a été implémenté. L'affichage des transports d'un voyage se fait dans les détails du voyage. Un bouton "Ajouter" permet de créer de nouveaux transports pour le voyage en question. Un bouton "Crayon" à côté de chaque transport permet d'éditer le transport vers lequel il se trouve. Un bouton "x" permet de supprimer le transport auquel il est lié. </t>
  </si>
  <si>
    <t>Sur la page des détails d'un voyage, tous ses hébergements sont également affichés. Un bouton "Ajouter" ouvre un menu et permet d'ajouter un hébergement au voyage en question. Un bouton "Crayon" est affiché à côté de chaque hébergement pour les éditer et un bouton "x" pour les supprimer. Initialement, ajout , la modification ainsi que la suppression d'éléments tels que les activités, transports, hébergements et prérequis devaient être implémenté avec de l'AJAX (selon mon analyse). Hors les tests effectués se sont averrés plus compliqués que prévu notament pour le chargement des images. De ce fait, je me suis tourné vers un système plus "traditionnel" sans AJAX afin de ne pas perdre de temps et pour implémenter toutes les fonctionnalités. AJAX n'était pas une obligation mais une spécification que je m'étais fixé pour améliorer l'expérience utilisateur. Cette "régression" ne change en rien le fonctionnement du projet mais impact de manière minime sa fluidité dans l'utilisation.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</si>
</sst>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s>
  <fills count="5">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s>
  <cellStyleXfs count="1">
    <xf numFmtId="0" fontId="0" fillId="0" borderId="0"/>
  </cellStyleXfs>
  <cellXfs count="40">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0" fillId="0" borderId="0" xfId="0" applyAlignment="1" applyProtection="1">
      <alignment horizontal="center" vertical="center"/>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2" fontId="0" fillId="3" borderId="1" xfId="0" applyNumberFormat="1" applyFill="1" applyBorder="1" applyAlignment="1" applyProtection="1">
      <alignment horizontal="center" vertical="center"/>
      <protection locked="0"/>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2" fontId="0" fillId="4" borderId="1" xfId="0" applyNumberFormat="1" applyFill="1" applyBorder="1" applyAlignment="1" applyProtection="1">
      <alignment horizontal="center" vertical="center"/>
      <protection locked="0"/>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14" fontId="0" fillId="4" borderId="2" xfId="0" applyNumberFormat="1" applyFill="1" applyBorder="1" applyAlignment="1" applyProtection="1">
      <alignment horizontal="center" vertical="center"/>
      <protection locked="0"/>
    </xf>
    <xf numFmtId="14" fontId="0" fillId="4" borderId="4" xfId="0" applyNumberFormat="1" applyFill="1" applyBorder="1" applyAlignment="1" applyProtection="1">
      <alignment horizontal="center" vertical="center"/>
      <protection locked="0"/>
    </xf>
    <xf numFmtId="14" fontId="0" fillId="4" borderId="3" xfId="0" applyNumberFormat="1" applyFill="1" applyBorder="1" applyAlignment="1" applyProtection="1">
      <alignment horizontal="center" vertical="center"/>
      <protection locked="0"/>
    </xf>
    <xf numFmtId="14" fontId="0" fillId="0" borderId="2" xfId="0" applyNumberFormat="1" applyBorder="1" applyAlignment="1" applyProtection="1">
      <alignment horizontal="center" vertical="center"/>
      <protection locked="0"/>
    </xf>
    <xf numFmtId="14" fontId="0" fillId="0" borderId="3" xfId="0" applyNumberFormat="1" applyBorder="1" applyAlignment="1" applyProtection="1">
      <alignment horizontal="center" vertical="center"/>
      <protection locked="0"/>
    </xf>
    <xf numFmtId="14" fontId="0" fillId="0" borderId="4" xfId="0" applyNumberFormat="1" applyBorder="1" applyAlignment="1" applyProtection="1">
      <alignment horizontal="center" vertical="center"/>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276225</xdr:colOff>
          <xdr:row>4</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7</xdr:row>
          <xdr:rowOff>28575</xdr:rowOff>
        </xdr:from>
        <xdr:to>
          <xdr:col>0</xdr:col>
          <xdr:colOff>990600</xdr:colOff>
          <xdr:row>8</xdr:row>
          <xdr:rowOff>76200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35"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36"/>
  <sheetViews>
    <sheetView tabSelected="1" zoomScaleNormal="100" workbookViewId="0">
      <selection activeCell="F11" sqref="F11"/>
    </sheetView>
  </sheetViews>
  <sheetFormatPr baseColWidth="10" defaultColWidth="9.140625" defaultRowHeight="15" x14ac:dyDescent="0.25"/>
  <cols>
    <col min="1" max="1" width="12" style="6" customWidth="1"/>
    <col min="2" max="2" width="8.140625" style="15" hidden="1" customWidth="1"/>
    <col min="3" max="3" width="9.28515625" style="12" bestFit="1" customWidth="1"/>
    <col min="4" max="4" width="18.140625" style="6" customWidth="1"/>
    <col min="5" max="5" width="65.7109375" style="13" customWidth="1"/>
    <col min="6" max="6" width="75.140625" style="13" customWidth="1"/>
    <col min="7" max="16384" width="9.140625" style="7"/>
  </cols>
  <sheetData>
    <row r="1" spans="1:9" s="17" customFormat="1" ht="14.1" customHeight="1" x14ac:dyDescent="0.2">
      <c r="A1" s="39" t="s">
        <v>14</v>
      </c>
      <c r="B1" s="39"/>
      <c r="C1" s="39"/>
      <c r="D1" s="39"/>
      <c r="E1" s="39"/>
      <c r="F1" s="39"/>
    </row>
    <row r="2" spans="1:9" s="17" customFormat="1" ht="14.25" x14ac:dyDescent="0.2">
      <c r="A2" s="39"/>
      <c r="B2" s="39"/>
      <c r="C2" s="39"/>
      <c r="D2" s="39"/>
      <c r="E2" s="39"/>
      <c r="F2" s="39"/>
    </row>
    <row r="3" spans="1:9" s="17" customFormat="1" ht="29.25" customHeight="1" x14ac:dyDescent="0.2">
      <c r="D3" s="18"/>
      <c r="E3" s="32" t="s">
        <v>29</v>
      </c>
      <c r="F3" s="31" t="s">
        <v>30</v>
      </c>
    </row>
    <row r="6" spans="1:9" ht="24" customHeight="1" x14ac:dyDescent="0.25">
      <c r="A6" s="19" t="s">
        <v>1</v>
      </c>
      <c r="B6" s="20" t="s">
        <v>11</v>
      </c>
      <c r="C6" s="21" t="s">
        <v>2</v>
      </c>
      <c r="D6" s="19" t="s">
        <v>3</v>
      </c>
      <c r="E6" s="22" t="s">
        <v>0</v>
      </c>
      <c r="F6" s="22" t="s">
        <v>13</v>
      </c>
    </row>
    <row r="7" spans="1:9" ht="75" x14ac:dyDescent="0.25">
      <c r="A7" s="33">
        <v>43242</v>
      </c>
      <c r="B7" s="27">
        <f t="shared" ref="B7" si="0">WEEKNUM(A7)</f>
        <v>21</v>
      </c>
      <c r="C7" s="28" t="s">
        <v>84</v>
      </c>
      <c r="D7" s="29" t="s">
        <v>6</v>
      </c>
      <c r="E7" s="30" t="s">
        <v>83</v>
      </c>
      <c r="F7" s="30" t="s">
        <v>85</v>
      </c>
      <c r="I7" s="11"/>
    </row>
    <row r="8" spans="1:9" ht="195" x14ac:dyDescent="0.25">
      <c r="A8" s="35"/>
      <c r="B8" s="27">
        <f t="shared" ref="B8" si="1">WEEKNUM(A8)</f>
        <v>0</v>
      </c>
      <c r="C8" s="28" t="s">
        <v>43</v>
      </c>
      <c r="D8" s="29" t="s">
        <v>6</v>
      </c>
      <c r="E8" s="30" t="s">
        <v>82</v>
      </c>
      <c r="F8" s="30" t="s">
        <v>86</v>
      </c>
      <c r="I8" s="11"/>
    </row>
    <row r="9" spans="1:9" ht="45" x14ac:dyDescent="0.25">
      <c r="A9" s="34"/>
      <c r="B9" s="27">
        <f t="shared" ref="B9" si="2">WEEKNUM(A9)</f>
        <v>0</v>
      </c>
      <c r="C9" s="28" t="s">
        <v>79</v>
      </c>
      <c r="D9" s="29" t="s">
        <v>6</v>
      </c>
      <c r="E9" s="30" t="s">
        <v>80</v>
      </c>
      <c r="F9" s="30" t="s">
        <v>81</v>
      </c>
      <c r="I9" s="11"/>
    </row>
    <row r="10" spans="1:9" x14ac:dyDescent="0.25">
      <c r="A10" s="33">
        <v>43237</v>
      </c>
      <c r="B10" s="27">
        <f t="shared" ref="B10" si="3">WEEKNUM(A10)</f>
        <v>20</v>
      </c>
      <c r="C10" s="28" t="s">
        <v>76</v>
      </c>
      <c r="D10" s="29" t="s">
        <v>6</v>
      </c>
      <c r="E10" s="30" t="s">
        <v>77</v>
      </c>
      <c r="F10" s="30" t="s">
        <v>78</v>
      </c>
      <c r="I10" s="11"/>
    </row>
    <row r="11" spans="1:9" ht="30" x14ac:dyDescent="0.25">
      <c r="A11" s="35"/>
      <c r="B11" s="27">
        <f t="shared" ref="B11" si="4">WEEKNUM(A11)</f>
        <v>0</v>
      </c>
      <c r="C11" s="28" t="s">
        <v>76</v>
      </c>
      <c r="D11" s="29" t="s">
        <v>6</v>
      </c>
      <c r="E11" s="30" t="s">
        <v>74</v>
      </c>
      <c r="F11" s="30" t="s">
        <v>75</v>
      </c>
      <c r="I11" s="11"/>
    </row>
    <row r="12" spans="1:9" ht="45" x14ac:dyDescent="0.25">
      <c r="A12" s="35"/>
      <c r="B12" s="27">
        <f t="shared" ref="B12" si="5">WEEKNUM(A12)</f>
        <v>0</v>
      </c>
      <c r="C12" s="28" t="s">
        <v>59</v>
      </c>
      <c r="D12" s="29" t="s">
        <v>6</v>
      </c>
      <c r="E12" s="30" t="s">
        <v>72</v>
      </c>
      <c r="F12" s="30" t="s">
        <v>73</v>
      </c>
      <c r="I12" s="11"/>
    </row>
    <row r="13" spans="1:9" ht="45" x14ac:dyDescent="0.25">
      <c r="A13" s="34"/>
      <c r="B13" s="27">
        <f t="shared" ref="B13" si="6">WEEKNUM(A13)</f>
        <v>0</v>
      </c>
      <c r="C13" s="28" t="s">
        <v>71</v>
      </c>
      <c r="D13" s="29" t="s">
        <v>5</v>
      </c>
      <c r="E13" s="30" t="s">
        <v>69</v>
      </c>
      <c r="F13" s="30" t="s">
        <v>70</v>
      </c>
      <c r="I13" s="11"/>
    </row>
    <row r="14" spans="1:9" ht="30" x14ac:dyDescent="0.25">
      <c r="A14" s="33">
        <v>43236</v>
      </c>
      <c r="B14" s="27">
        <f t="shared" ref="B14" si="7">WEEKNUM(A14)</f>
        <v>20</v>
      </c>
      <c r="C14" s="28" t="s">
        <v>66</v>
      </c>
      <c r="D14" s="29" t="s">
        <v>6</v>
      </c>
      <c r="E14" s="30" t="s">
        <v>67</v>
      </c>
      <c r="F14" s="30" t="s">
        <v>68</v>
      </c>
      <c r="I14" s="11"/>
    </row>
    <row r="15" spans="1:9" ht="30" x14ac:dyDescent="0.25">
      <c r="A15" s="35"/>
      <c r="B15" s="27">
        <f t="shared" ref="B15" si="8">WEEKNUM(A15)</f>
        <v>0</v>
      </c>
      <c r="C15" s="28" t="s">
        <v>63</v>
      </c>
      <c r="D15" s="29" t="s">
        <v>6</v>
      </c>
      <c r="E15" s="30" t="s">
        <v>64</v>
      </c>
      <c r="F15" s="30" t="s">
        <v>65</v>
      </c>
      <c r="I15" s="11"/>
    </row>
    <row r="16" spans="1:9" ht="30" x14ac:dyDescent="0.25">
      <c r="A16" s="35"/>
      <c r="B16" s="27">
        <f t="shared" ref="B16" si="9">WEEKNUM(A16)</f>
        <v>0</v>
      </c>
      <c r="C16" s="28" t="s">
        <v>59</v>
      </c>
      <c r="D16" s="29" t="s">
        <v>6</v>
      </c>
      <c r="E16" s="30" t="s">
        <v>60</v>
      </c>
      <c r="F16" s="30" t="s">
        <v>61</v>
      </c>
      <c r="I16" s="11"/>
    </row>
    <row r="17" spans="1:9" x14ac:dyDescent="0.25">
      <c r="A17" s="35"/>
      <c r="B17" s="27">
        <f t="shared" ref="B17" si="10">WEEKNUM(A17)</f>
        <v>0</v>
      </c>
      <c r="C17" s="28" t="s">
        <v>56</v>
      </c>
      <c r="D17" s="29" t="s">
        <v>6</v>
      </c>
      <c r="E17" s="30" t="s">
        <v>57</v>
      </c>
      <c r="F17" s="30" t="s">
        <v>58</v>
      </c>
      <c r="I17" s="11"/>
    </row>
    <row r="18" spans="1:9" ht="45" x14ac:dyDescent="0.25">
      <c r="A18" s="35"/>
      <c r="B18" s="23">
        <f t="shared" ref="B18" si="11">WEEKNUM(A18)</f>
        <v>0</v>
      </c>
      <c r="C18" s="24" t="s">
        <v>53</v>
      </c>
      <c r="D18" s="25" t="s">
        <v>17</v>
      </c>
      <c r="E18" s="26" t="s">
        <v>54</v>
      </c>
      <c r="F18" s="26" t="s">
        <v>55</v>
      </c>
      <c r="I18" s="11"/>
    </row>
    <row r="19" spans="1:9" ht="45" x14ac:dyDescent="0.25">
      <c r="A19" s="35"/>
      <c r="B19" s="27">
        <f t="shared" ref="B19" si="12">WEEKNUM(A19)</f>
        <v>0</v>
      </c>
      <c r="C19" s="28" t="s">
        <v>49</v>
      </c>
      <c r="D19" s="29" t="s">
        <v>6</v>
      </c>
      <c r="E19" s="30" t="s">
        <v>50</v>
      </c>
      <c r="F19" s="30" t="s">
        <v>52</v>
      </c>
      <c r="I19" s="11"/>
    </row>
    <row r="20" spans="1:9" ht="45" x14ac:dyDescent="0.25">
      <c r="A20" s="34"/>
      <c r="B20" s="27">
        <f t="shared" ref="B20" si="13">WEEKNUM(A20)</f>
        <v>0</v>
      </c>
      <c r="C20" s="28" t="s">
        <v>47</v>
      </c>
      <c r="D20" s="29" t="s">
        <v>5</v>
      </c>
      <c r="E20" s="30" t="s">
        <v>51</v>
      </c>
      <c r="F20" s="30" t="s">
        <v>48</v>
      </c>
      <c r="I20" s="11"/>
    </row>
    <row r="21" spans="1:9" x14ac:dyDescent="0.25">
      <c r="A21" s="33">
        <v>43235</v>
      </c>
      <c r="B21" s="27">
        <f t="shared" ref="B21" si="14">WEEKNUM(A21)</f>
        <v>20</v>
      </c>
      <c r="C21" s="28" t="s">
        <v>43</v>
      </c>
      <c r="D21" s="29" t="s">
        <v>6</v>
      </c>
      <c r="E21" s="30" t="s">
        <v>44</v>
      </c>
      <c r="F21" s="30" t="s">
        <v>45</v>
      </c>
      <c r="I21" s="11"/>
    </row>
    <row r="22" spans="1:9" ht="105" x14ac:dyDescent="0.25">
      <c r="A22" s="35"/>
      <c r="B22" s="27">
        <f t="shared" ref="B22" si="15">WEEKNUM(A22)</f>
        <v>0</v>
      </c>
      <c r="C22" s="28">
        <v>1</v>
      </c>
      <c r="D22" s="29" t="s">
        <v>6</v>
      </c>
      <c r="E22" s="30" t="s">
        <v>42</v>
      </c>
      <c r="F22" s="30" t="s">
        <v>46</v>
      </c>
      <c r="I22" s="11"/>
    </row>
    <row r="23" spans="1:9" ht="45" x14ac:dyDescent="0.25">
      <c r="A23" s="35"/>
      <c r="B23" s="27">
        <f t="shared" ref="B23" si="16">WEEKNUM(A23)</f>
        <v>0</v>
      </c>
      <c r="C23" s="28">
        <v>1</v>
      </c>
      <c r="D23" s="29" t="s">
        <v>6</v>
      </c>
      <c r="E23" s="30" t="s">
        <v>40</v>
      </c>
      <c r="F23" s="30" t="s">
        <v>41</v>
      </c>
      <c r="I23" s="11"/>
    </row>
    <row r="24" spans="1:9" ht="30" x14ac:dyDescent="0.25">
      <c r="A24" s="35"/>
      <c r="B24" s="27">
        <f t="shared" ref="B24" si="17">WEEKNUM(A24)</f>
        <v>0</v>
      </c>
      <c r="C24" s="28">
        <v>1</v>
      </c>
      <c r="D24" s="29" t="s">
        <v>6</v>
      </c>
      <c r="E24" s="30" t="s">
        <v>39</v>
      </c>
      <c r="F24" s="30" t="s">
        <v>62</v>
      </c>
      <c r="I24" s="11"/>
    </row>
    <row r="25" spans="1:9" ht="30" x14ac:dyDescent="0.25">
      <c r="A25" s="34"/>
      <c r="B25" s="27">
        <f t="shared" ref="B25" si="18">WEEKNUM(A25)</f>
        <v>0</v>
      </c>
      <c r="C25" s="28">
        <v>0.75</v>
      </c>
      <c r="D25" s="29" t="s">
        <v>5</v>
      </c>
      <c r="E25" s="30" t="s">
        <v>37</v>
      </c>
      <c r="F25" s="30" t="s">
        <v>38</v>
      </c>
      <c r="I25" s="11"/>
    </row>
    <row r="26" spans="1:9" ht="75" x14ac:dyDescent="0.25">
      <c r="A26" s="33">
        <v>43234</v>
      </c>
      <c r="B26" s="27">
        <f t="shared" ref="B26" si="19">WEEKNUM(A26)</f>
        <v>20</v>
      </c>
      <c r="C26" s="28">
        <v>2.25</v>
      </c>
      <c r="D26" s="29" t="s">
        <v>5</v>
      </c>
      <c r="E26" s="30" t="s">
        <v>35</v>
      </c>
      <c r="F26" s="30" t="s">
        <v>36</v>
      </c>
      <c r="I26" s="11"/>
    </row>
    <row r="27" spans="1:9" ht="45" x14ac:dyDescent="0.25">
      <c r="A27" s="34"/>
      <c r="B27" s="27">
        <f t="shared" ref="B27:B34" si="20">WEEKNUM(A27)</f>
        <v>0</v>
      </c>
      <c r="C27" s="28">
        <v>2.5</v>
      </c>
      <c r="D27" s="29" t="s">
        <v>5</v>
      </c>
      <c r="E27" s="30" t="s">
        <v>33</v>
      </c>
      <c r="F27" s="30" t="s">
        <v>34</v>
      </c>
      <c r="I27" s="11"/>
    </row>
    <row r="28" spans="1:9" x14ac:dyDescent="0.25">
      <c r="A28" s="33">
        <v>43229</v>
      </c>
      <c r="B28" s="27">
        <f t="shared" si="20"/>
        <v>19</v>
      </c>
      <c r="C28" s="28">
        <v>3.75</v>
      </c>
      <c r="D28" s="29" t="s">
        <v>5</v>
      </c>
      <c r="E28" s="30" t="s">
        <v>28</v>
      </c>
      <c r="F28" s="30" t="s">
        <v>32</v>
      </c>
      <c r="I28" s="11"/>
    </row>
    <row r="29" spans="1:9" ht="105" x14ac:dyDescent="0.25">
      <c r="A29" s="35"/>
      <c r="B29" s="23">
        <f t="shared" si="20"/>
        <v>0</v>
      </c>
      <c r="C29" s="24">
        <v>0.25</v>
      </c>
      <c r="D29" s="25" t="s">
        <v>17</v>
      </c>
      <c r="E29" s="26" t="s">
        <v>27</v>
      </c>
      <c r="F29" s="26" t="s">
        <v>31</v>
      </c>
      <c r="I29" s="11"/>
    </row>
    <row r="30" spans="1:9" ht="60" x14ac:dyDescent="0.25">
      <c r="A30" s="34"/>
      <c r="B30" s="14">
        <f t="shared" si="20"/>
        <v>0</v>
      </c>
      <c r="C30" s="8">
        <v>2.75</v>
      </c>
      <c r="D30" s="9" t="s">
        <v>5</v>
      </c>
      <c r="E30" s="10" t="s">
        <v>22</v>
      </c>
      <c r="F30" s="10" t="s">
        <v>26</v>
      </c>
      <c r="I30" s="11"/>
    </row>
    <row r="31" spans="1:9" ht="45" x14ac:dyDescent="0.25">
      <c r="A31" s="36">
        <v>43228</v>
      </c>
      <c r="B31" s="14">
        <f t="shared" si="20"/>
        <v>19</v>
      </c>
      <c r="C31" s="8">
        <v>0.75</v>
      </c>
      <c r="D31" s="9" t="s">
        <v>5</v>
      </c>
      <c r="E31" s="10" t="s">
        <v>22</v>
      </c>
      <c r="F31" s="10" t="s">
        <v>23</v>
      </c>
      <c r="I31" s="11"/>
    </row>
    <row r="32" spans="1:9" x14ac:dyDescent="0.25">
      <c r="A32" s="37"/>
      <c r="B32" s="14">
        <f t="shared" si="20"/>
        <v>0</v>
      </c>
      <c r="C32" s="8">
        <v>2</v>
      </c>
      <c r="D32" s="9" t="s">
        <v>5</v>
      </c>
      <c r="E32" s="10" t="s">
        <v>21</v>
      </c>
      <c r="F32" s="10" t="s">
        <v>24</v>
      </c>
      <c r="I32" s="11"/>
    </row>
    <row r="33" spans="1:9" ht="30" x14ac:dyDescent="0.25">
      <c r="A33" s="37"/>
      <c r="B33" s="14">
        <f t="shared" si="20"/>
        <v>0</v>
      </c>
      <c r="C33" s="8">
        <v>1.5</v>
      </c>
      <c r="D33" s="9" t="s">
        <v>5</v>
      </c>
      <c r="E33" s="10" t="s">
        <v>20</v>
      </c>
      <c r="F33" s="10" t="s">
        <v>25</v>
      </c>
      <c r="I33" s="11"/>
    </row>
    <row r="34" spans="1:9" x14ac:dyDescent="0.25">
      <c r="A34" s="37"/>
      <c r="B34" s="23">
        <f t="shared" si="20"/>
        <v>0</v>
      </c>
      <c r="C34" s="24">
        <v>1</v>
      </c>
      <c r="D34" s="25" t="s">
        <v>17</v>
      </c>
      <c r="E34" s="26" t="s">
        <v>18</v>
      </c>
      <c r="F34" s="26" t="s">
        <v>19</v>
      </c>
      <c r="I34" s="11"/>
    </row>
    <row r="35" spans="1:9" x14ac:dyDescent="0.25">
      <c r="A35" s="38"/>
      <c r="B35" s="14">
        <f t="shared" ref="B35" si="21">WEEKNUM(A35)</f>
        <v>0</v>
      </c>
      <c r="C35" s="8">
        <v>1.5</v>
      </c>
      <c r="D35" s="9" t="s">
        <v>5</v>
      </c>
      <c r="E35" s="10" t="s">
        <v>15</v>
      </c>
      <c r="F35" s="10" t="s">
        <v>16</v>
      </c>
      <c r="I35" s="11"/>
    </row>
    <row r="36" spans="1:9" x14ac:dyDescent="0.25">
      <c r="A36" s="16"/>
    </row>
  </sheetData>
  <sheetProtection selectLockedCells="1"/>
  <mergeCells count="8">
    <mergeCell ref="A26:A27"/>
    <mergeCell ref="A28:A30"/>
    <mergeCell ref="A31:A35"/>
    <mergeCell ref="A1:F2"/>
    <mergeCell ref="A7:A9"/>
    <mergeCell ref="A10:A13"/>
    <mergeCell ref="A14:A20"/>
    <mergeCell ref="A21:A25"/>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276225</xdr:colOff>
                    <xdr:row>4</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Paramètres!$A$2:$A$7</xm:f>
          </x14:formula1>
          <xm:sqref>D7:D35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6" sqref="C6"/>
    </sheetView>
  </sheetViews>
  <sheetFormatPr baseColWidth="10" defaultRowHeight="15" x14ac:dyDescent="0.25"/>
  <cols>
    <col min="1" max="1" width="17.140625" customWidth="1"/>
    <col min="2" max="2" width="12.28515625"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7"/>
  <sheetViews>
    <sheetView workbookViewId="0">
      <selection activeCell="C11" sqref="C11"/>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t="s">
        <v>17</v>
      </c>
    </row>
    <row r="4" spans="1:1" x14ac:dyDescent="0.25">
      <c r="A4" s="1" t="s">
        <v>6</v>
      </c>
    </row>
    <row r="5" spans="1:1" x14ac:dyDescent="0.25">
      <c r="A5" s="1" t="s">
        <v>7</v>
      </c>
    </row>
    <row r="6" spans="1:1" x14ac:dyDescent="0.25">
      <c r="A6" s="1" t="s">
        <v>8</v>
      </c>
    </row>
    <row r="7" spans="1:1" x14ac:dyDescent="0.25">
      <c r="A7"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9525</xdr:colOff>
                    <xdr:row>7</xdr:row>
                    <xdr:rowOff>28575</xdr:rowOff>
                  </from>
                  <to>
                    <xdr:col>0</xdr:col>
                    <xdr:colOff>990600</xdr:colOff>
                    <xdr:row>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Journal</vt:lpstr>
      <vt:lpstr>Totaux</vt:lpstr>
      <vt:lpstr>Paramètres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2018-05-22T14:52:56Z</dcterms:modified>
</cp:coreProperties>
</file>